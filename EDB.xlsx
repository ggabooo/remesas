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ECTRE\Desktop\Universidad\7 Semestre\Econometria 2\Proyecto 1\"/>
    </mc:Choice>
  </mc:AlternateContent>
  <xr:revisionPtr revIDLastSave="0" documentId="13_ncr:1_{2C20D335-22F1-492A-B563-06A5CA85E2A6}" xr6:coauthVersionLast="47" xr6:coauthVersionMax="47" xr10:uidLastSave="{00000000-0000-0000-0000-000000000000}"/>
  <bookViews>
    <workbookView xWindow="-108" yWindow="-108" windowWidth="22320" windowHeight="13176" activeTab="2" xr2:uid="{CA7F4578-DBF2-4D5D-B568-7325161F0079}"/>
  </bookViews>
  <sheets>
    <sheet name="Dataset" sheetId="1" r:id="rId1"/>
    <sheet name="Resumen" sheetId="2" r:id="rId2"/>
    <sheet name="Promedio Movil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5" i="4" l="1"/>
  <c r="Q35" i="4"/>
  <c r="P36" i="4"/>
  <c r="Q36" i="4"/>
  <c r="P37" i="4"/>
  <c r="Q37" i="4"/>
  <c r="P38" i="4"/>
  <c r="Q38" i="4"/>
  <c r="P39" i="4"/>
  <c r="Q39" i="4"/>
  <c r="P40" i="4"/>
  <c r="Q40" i="4"/>
  <c r="P41" i="4"/>
  <c r="Q41" i="4"/>
  <c r="P42" i="4"/>
  <c r="Q42" i="4"/>
  <c r="P43" i="4"/>
  <c r="Q43" i="4"/>
  <c r="P44" i="4"/>
  <c r="Q44" i="4"/>
  <c r="P45" i="4"/>
  <c r="Q45" i="4"/>
  <c r="Q34" i="4"/>
  <c r="P34" i="4"/>
  <c r="P46" i="4"/>
  <c r="N45" i="4"/>
  <c r="L45" i="4"/>
  <c r="J45" i="4"/>
  <c r="H45" i="4"/>
  <c r="F45" i="4"/>
  <c r="N44" i="4"/>
  <c r="L44" i="4"/>
  <c r="J44" i="4"/>
  <c r="H44" i="4"/>
  <c r="F44" i="4"/>
  <c r="N43" i="4"/>
  <c r="L43" i="4"/>
  <c r="J43" i="4"/>
  <c r="H43" i="4"/>
  <c r="F43" i="4"/>
  <c r="N42" i="4"/>
  <c r="L42" i="4"/>
  <c r="J42" i="4"/>
  <c r="H42" i="4"/>
  <c r="F42" i="4"/>
  <c r="N41" i="4"/>
  <c r="L41" i="4"/>
  <c r="J41" i="4"/>
  <c r="H41" i="4"/>
  <c r="F41" i="4"/>
  <c r="N40" i="4"/>
  <c r="L40" i="4"/>
  <c r="J40" i="4"/>
  <c r="H40" i="4"/>
  <c r="F40" i="4"/>
  <c r="N39" i="4"/>
  <c r="L39" i="4"/>
  <c r="J39" i="4"/>
  <c r="H39" i="4"/>
  <c r="F39" i="4"/>
  <c r="N38" i="4"/>
  <c r="L38" i="4"/>
  <c r="J38" i="4"/>
  <c r="H38" i="4"/>
  <c r="F38" i="4"/>
  <c r="N37" i="4"/>
  <c r="L37" i="4"/>
  <c r="J37" i="4"/>
  <c r="H37" i="4"/>
  <c r="F37" i="4"/>
  <c r="N36" i="4"/>
  <c r="L36" i="4"/>
  <c r="J36" i="4"/>
  <c r="H36" i="4"/>
  <c r="F36" i="4"/>
  <c r="N35" i="4"/>
  <c r="L35" i="4"/>
  <c r="J35" i="4"/>
  <c r="H35" i="4"/>
  <c r="F35" i="4"/>
  <c r="N34" i="4"/>
  <c r="M46" i="4" s="1" a="1"/>
  <c r="M46" i="4" s="1"/>
  <c r="L34" i="4"/>
  <c r="J34" i="4"/>
  <c r="H34" i="4"/>
  <c r="F34" i="4"/>
  <c r="E46" i="4" s="1" a="1"/>
  <c r="E46" i="4" s="1"/>
  <c r="Y15" i="4"/>
  <c r="Z15" i="4" s="1"/>
  <c r="Y14" i="4"/>
  <c r="Z14" i="4" s="1"/>
  <c r="Y13" i="4"/>
  <c r="Z13" i="4" s="1"/>
  <c r="Y12" i="4"/>
  <c r="Z12" i="4" s="1"/>
  <c r="Y11" i="4"/>
  <c r="Z11" i="4" s="1"/>
  <c r="Y10" i="4"/>
  <c r="Z10" i="4" s="1"/>
  <c r="Y9" i="4"/>
  <c r="Z9" i="4" s="1"/>
  <c r="Y8" i="4"/>
  <c r="Z8" i="4" s="1"/>
  <c r="Y7" i="4"/>
  <c r="Z7" i="4" s="1"/>
  <c r="Y6" i="4"/>
  <c r="Z6" i="4" s="1"/>
  <c r="Y5" i="4"/>
  <c r="Z5" i="4" s="1"/>
  <c r="Y4" i="4"/>
  <c r="Z4" i="4" s="1"/>
  <c r="W15" i="4"/>
  <c r="X15" i="4" s="1"/>
  <c r="W14" i="4"/>
  <c r="X14" i="4" s="1"/>
  <c r="W13" i="4"/>
  <c r="X13" i="4" s="1"/>
  <c r="W12" i="4"/>
  <c r="X12" i="4" s="1"/>
  <c r="W11" i="4"/>
  <c r="X11" i="4" s="1"/>
  <c r="W10" i="4"/>
  <c r="X10" i="4" s="1"/>
  <c r="W9" i="4"/>
  <c r="X9" i="4" s="1"/>
  <c r="W8" i="4"/>
  <c r="X8" i="4" s="1"/>
  <c r="W7" i="4"/>
  <c r="X7" i="4" s="1"/>
  <c r="W6" i="4"/>
  <c r="X6" i="4" s="1"/>
  <c r="W5" i="4"/>
  <c r="X5" i="4" s="1"/>
  <c r="W4" i="4"/>
  <c r="X4" i="4" s="1"/>
  <c r="U15" i="4"/>
  <c r="V15" i="4" s="1"/>
  <c r="U14" i="4"/>
  <c r="V14" i="4" s="1"/>
  <c r="U13" i="4"/>
  <c r="V13" i="4" s="1"/>
  <c r="U12" i="4"/>
  <c r="V12" i="4" s="1"/>
  <c r="U11" i="4"/>
  <c r="V11" i="4" s="1"/>
  <c r="U10" i="4"/>
  <c r="V10" i="4" s="1"/>
  <c r="U9" i="4"/>
  <c r="V9" i="4" s="1"/>
  <c r="U8" i="4"/>
  <c r="V8" i="4" s="1"/>
  <c r="U7" i="4"/>
  <c r="V7" i="4" s="1"/>
  <c r="U6" i="4"/>
  <c r="V6" i="4" s="1"/>
  <c r="U5" i="4"/>
  <c r="V5" i="4" s="1"/>
  <c r="U4" i="4"/>
  <c r="V4" i="4" s="1"/>
  <c r="S15" i="4"/>
  <c r="T15" i="4" s="1"/>
  <c r="S14" i="4"/>
  <c r="T14" i="4" s="1"/>
  <c r="S13" i="4"/>
  <c r="T13" i="4" s="1"/>
  <c r="S12" i="4"/>
  <c r="T12" i="4" s="1"/>
  <c r="S11" i="4"/>
  <c r="T11" i="4" s="1"/>
  <c r="S10" i="4"/>
  <c r="T10" i="4" s="1"/>
  <c r="S9" i="4"/>
  <c r="T9" i="4" s="1"/>
  <c r="S8" i="4"/>
  <c r="T8" i="4" s="1"/>
  <c r="S7" i="4"/>
  <c r="T7" i="4" s="1"/>
  <c r="S6" i="4"/>
  <c r="T6" i="4" s="1"/>
  <c r="S5" i="4"/>
  <c r="T5" i="4" s="1"/>
  <c r="S4" i="4"/>
  <c r="T4" i="4" s="1"/>
  <c r="Q15" i="4"/>
  <c r="R15" i="4" s="1"/>
  <c r="Q14" i="4"/>
  <c r="R14" i="4" s="1"/>
  <c r="Q13" i="4"/>
  <c r="R13" i="4" s="1"/>
  <c r="Q12" i="4"/>
  <c r="R12" i="4" s="1"/>
  <c r="Q11" i="4"/>
  <c r="R11" i="4" s="1"/>
  <c r="Q10" i="4"/>
  <c r="R10" i="4" s="1"/>
  <c r="Q9" i="4"/>
  <c r="R9" i="4" s="1"/>
  <c r="Q8" i="4"/>
  <c r="R8" i="4" s="1"/>
  <c r="Q7" i="4"/>
  <c r="R7" i="4" s="1"/>
  <c r="Q6" i="4"/>
  <c r="R6" i="4" s="1"/>
  <c r="Q5" i="4"/>
  <c r="R5" i="4" s="1"/>
  <c r="Q4" i="4"/>
  <c r="R4" i="4" s="1"/>
  <c r="O15" i="4"/>
  <c r="P15" i="4" s="1"/>
  <c r="O14" i="4"/>
  <c r="P14" i="4" s="1"/>
  <c r="O13" i="4"/>
  <c r="P13" i="4" s="1"/>
  <c r="O12" i="4"/>
  <c r="P12" i="4" s="1"/>
  <c r="O11" i="4"/>
  <c r="P11" i="4" s="1"/>
  <c r="O10" i="4"/>
  <c r="P10" i="4" s="1"/>
  <c r="O9" i="4"/>
  <c r="P9" i="4" s="1"/>
  <c r="O8" i="4"/>
  <c r="P8" i="4" s="1"/>
  <c r="O7" i="4"/>
  <c r="P7" i="4" s="1"/>
  <c r="O6" i="4"/>
  <c r="P6" i="4" s="1"/>
  <c r="O5" i="4"/>
  <c r="P5" i="4" s="1"/>
  <c r="O4" i="4"/>
  <c r="P4" i="4" s="1"/>
  <c r="M15" i="4"/>
  <c r="M14" i="4"/>
  <c r="M13" i="4"/>
  <c r="N13" i="4" s="1"/>
  <c r="M12" i="4"/>
  <c r="N12" i="4" s="1"/>
  <c r="M11" i="4"/>
  <c r="M10" i="4"/>
  <c r="M9" i="4"/>
  <c r="N9" i="4" s="1"/>
  <c r="M8" i="4"/>
  <c r="N8" i="4" s="1"/>
  <c r="M7" i="4"/>
  <c r="N7" i="4" s="1"/>
  <c r="M6" i="4"/>
  <c r="M5" i="4"/>
  <c r="N5" i="4" s="1"/>
  <c r="M4" i="4"/>
  <c r="N4" i="4" s="1"/>
  <c r="K15" i="4"/>
  <c r="L15" i="4" s="1"/>
  <c r="K14" i="4"/>
  <c r="K13" i="4"/>
  <c r="L13" i="4" s="1"/>
  <c r="K12" i="4"/>
  <c r="L12" i="4" s="1"/>
  <c r="K11" i="4"/>
  <c r="L11" i="4" s="1"/>
  <c r="K10" i="4"/>
  <c r="K9" i="4"/>
  <c r="L9" i="4" s="1"/>
  <c r="K8" i="4"/>
  <c r="L8" i="4" s="1"/>
  <c r="K7" i="4"/>
  <c r="L7" i="4" s="1"/>
  <c r="K6" i="4"/>
  <c r="K5" i="4"/>
  <c r="L5" i="4" s="1"/>
  <c r="K4" i="4"/>
  <c r="L4" i="4" s="1"/>
  <c r="I15" i="4"/>
  <c r="J15" i="4" s="1"/>
  <c r="I14" i="4"/>
  <c r="I13" i="4"/>
  <c r="J13" i="4" s="1"/>
  <c r="I12" i="4"/>
  <c r="J12" i="4" s="1"/>
  <c r="I11" i="4"/>
  <c r="J11" i="4" s="1"/>
  <c r="I10" i="4"/>
  <c r="I9" i="4"/>
  <c r="J9" i="4" s="1"/>
  <c r="I8" i="4"/>
  <c r="J8" i="4" s="1"/>
  <c r="I7" i="4"/>
  <c r="J7" i="4" s="1"/>
  <c r="I6" i="4"/>
  <c r="I5" i="4"/>
  <c r="J5" i="4" s="1"/>
  <c r="I4" i="4"/>
  <c r="J4" i="4" s="1"/>
  <c r="G15" i="4"/>
  <c r="H15" i="4" s="1"/>
  <c r="G14" i="4"/>
  <c r="G13" i="4"/>
  <c r="G12" i="4"/>
  <c r="H12" i="4" s="1"/>
  <c r="G11" i="4"/>
  <c r="H11" i="4" s="1"/>
  <c r="G10" i="4"/>
  <c r="G9" i="4"/>
  <c r="H9" i="4" s="1"/>
  <c r="G8" i="4"/>
  <c r="H8" i="4" s="1"/>
  <c r="G7" i="4"/>
  <c r="H7" i="4" s="1"/>
  <c r="G6" i="4"/>
  <c r="G5" i="4"/>
  <c r="G4" i="4"/>
  <c r="H4" i="4" s="1"/>
  <c r="E5" i="4"/>
  <c r="F5" i="4" s="1"/>
  <c r="E6" i="4"/>
  <c r="F6" i="4" s="1"/>
  <c r="E7" i="4"/>
  <c r="F7" i="4" s="1"/>
  <c r="E8" i="4"/>
  <c r="F8" i="4" s="1"/>
  <c r="E9" i="4"/>
  <c r="F9" i="4" s="1"/>
  <c r="E10" i="4"/>
  <c r="F10" i="4" s="1"/>
  <c r="E11" i="4"/>
  <c r="F11" i="4" s="1"/>
  <c r="E12" i="4"/>
  <c r="F12" i="4" s="1"/>
  <c r="E13" i="4"/>
  <c r="F13" i="4" s="1"/>
  <c r="E14" i="4"/>
  <c r="F14" i="4" s="1"/>
  <c r="E15" i="4"/>
  <c r="F15" i="4" s="1"/>
  <c r="E4" i="4"/>
  <c r="F4" i="4" s="1"/>
  <c r="N15" i="4"/>
  <c r="N14" i="4"/>
  <c r="L14" i="4"/>
  <c r="J14" i="4"/>
  <c r="H14" i="4"/>
  <c r="H13" i="4"/>
  <c r="N11" i="4"/>
  <c r="N10" i="4"/>
  <c r="L10" i="4"/>
  <c r="J10" i="4"/>
  <c r="H10" i="4"/>
  <c r="N6" i="4"/>
  <c r="L6" i="4"/>
  <c r="J6" i="4"/>
  <c r="H6" i="4"/>
  <c r="H5" i="4"/>
  <c r="N15" i="2"/>
  <c r="N14" i="2"/>
  <c r="N13" i="2"/>
  <c r="N12" i="2"/>
  <c r="N11" i="2"/>
  <c r="N10" i="2"/>
  <c r="N9" i="2"/>
  <c r="N8" i="2"/>
  <c r="N7" i="2"/>
  <c r="N6" i="2"/>
  <c r="N5" i="2"/>
  <c r="N4" i="2"/>
  <c r="L15" i="2"/>
  <c r="L14" i="2"/>
  <c r="L13" i="2"/>
  <c r="L12" i="2"/>
  <c r="L11" i="2"/>
  <c r="L10" i="2"/>
  <c r="L9" i="2"/>
  <c r="L8" i="2"/>
  <c r="L7" i="2"/>
  <c r="L6" i="2"/>
  <c r="L5" i="2"/>
  <c r="L4" i="2"/>
  <c r="J15" i="2"/>
  <c r="J14" i="2"/>
  <c r="J13" i="2"/>
  <c r="J12" i="2"/>
  <c r="J11" i="2"/>
  <c r="J10" i="2"/>
  <c r="J9" i="2"/>
  <c r="J8" i="2"/>
  <c r="J7" i="2"/>
  <c r="J6" i="2"/>
  <c r="J5" i="2"/>
  <c r="J4" i="2"/>
  <c r="I16" i="2" s="1" a="1"/>
  <c r="I16" i="2" s="1"/>
  <c r="H5" i="2"/>
  <c r="H6" i="2"/>
  <c r="H7" i="2"/>
  <c r="H8" i="2"/>
  <c r="H9" i="2"/>
  <c r="H10" i="2"/>
  <c r="H11" i="2"/>
  <c r="H12" i="2"/>
  <c r="H13" i="2"/>
  <c r="H14" i="2"/>
  <c r="H15" i="2"/>
  <c r="H4" i="2"/>
  <c r="F5" i="2"/>
  <c r="F6" i="2"/>
  <c r="F7" i="2"/>
  <c r="F8" i="2"/>
  <c r="F9" i="2"/>
  <c r="F10" i="2"/>
  <c r="F11" i="2"/>
  <c r="F12" i="2"/>
  <c r="F13" i="2"/>
  <c r="F14" i="2"/>
  <c r="F15" i="2"/>
  <c r="F4" i="2"/>
  <c r="E16" i="2" s="1" a="1"/>
  <c r="E16" i="2" s="1"/>
  <c r="D26" i="1"/>
  <c r="D27" i="1"/>
  <c r="D28" i="1"/>
  <c r="D29" i="1"/>
  <c r="D30" i="1"/>
  <c r="D31" i="1"/>
  <c r="D32" i="1"/>
  <c r="D33" i="1"/>
  <c r="D34" i="1"/>
  <c r="D35" i="1"/>
  <c r="D36" i="1"/>
  <c r="D37" i="1"/>
  <c r="D49" i="1" s="1"/>
  <c r="D61" i="1" s="1"/>
  <c r="D73" i="1" s="1"/>
  <c r="D85" i="1" s="1"/>
  <c r="D97" i="1" s="1"/>
  <c r="D109" i="1" s="1"/>
  <c r="D121" i="1" s="1"/>
  <c r="D133" i="1" s="1"/>
  <c r="D145" i="1" s="1"/>
  <c r="D157" i="1" s="1"/>
  <c r="D169" i="1" s="1"/>
  <c r="D181" i="1" s="1"/>
  <c r="D193" i="1" s="1"/>
  <c r="D205" i="1" s="1"/>
  <c r="D217" i="1" s="1"/>
  <c r="D229" i="1" s="1"/>
  <c r="D241" i="1" s="1"/>
  <c r="D253" i="1" s="1"/>
  <c r="D265" i="1" s="1"/>
  <c r="D277" i="1" s="1"/>
  <c r="D289" i="1" s="1"/>
  <c r="D38" i="1"/>
  <c r="D39" i="1"/>
  <c r="D40" i="1"/>
  <c r="D41" i="1"/>
  <c r="D42" i="1"/>
  <c r="D43" i="1"/>
  <c r="D44" i="1"/>
  <c r="D45" i="1"/>
  <c r="D46" i="1"/>
  <c r="D47" i="1"/>
  <c r="D48" i="1"/>
  <c r="D50" i="1"/>
  <c r="D51" i="1"/>
  <c r="D52" i="1"/>
  <c r="D53" i="1"/>
  <c r="D54" i="1"/>
  <c r="D55" i="1"/>
  <c r="D56" i="1"/>
  <c r="D57" i="1"/>
  <c r="D58" i="1"/>
  <c r="D59" i="1"/>
  <c r="D60" i="1"/>
  <c r="D62" i="1"/>
  <c r="D63" i="1"/>
  <c r="D64" i="1"/>
  <c r="D65" i="1"/>
  <c r="D66" i="1"/>
  <c r="D67" i="1"/>
  <c r="D68" i="1"/>
  <c r="D69" i="1"/>
  <c r="D70" i="1"/>
  <c r="D71" i="1"/>
  <c r="D72" i="1"/>
  <c r="D74" i="1"/>
  <c r="D75" i="1"/>
  <c r="D76" i="1"/>
  <c r="D77" i="1"/>
  <c r="D78" i="1"/>
  <c r="D79" i="1"/>
  <c r="D80" i="1"/>
  <c r="D81" i="1"/>
  <c r="D82" i="1"/>
  <c r="D83" i="1"/>
  <c r="D84" i="1"/>
  <c r="D86" i="1"/>
  <c r="D87" i="1"/>
  <c r="D88" i="1"/>
  <c r="D89" i="1"/>
  <c r="D90" i="1"/>
  <c r="D91" i="1"/>
  <c r="D92" i="1"/>
  <c r="D93" i="1"/>
  <c r="D94" i="1"/>
  <c r="D95" i="1"/>
  <c r="D96" i="1"/>
  <c r="D98" i="1"/>
  <c r="D99" i="1"/>
  <c r="D100" i="1"/>
  <c r="D101" i="1"/>
  <c r="D102" i="1"/>
  <c r="D103" i="1"/>
  <c r="D104" i="1"/>
  <c r="D105" i="1"/>
  <c r="D117" i="1" s="1"/>
  <c r="D129" i="1" s="1"/>
  <c r="D141" i="1" s="1"/>
  <c r="D153" i="1" s="1"/>
  <c r="D165" i="1" s="1"/>
  <c r="D177" i="1" s="1"/>
  <c r="D189" i="1" s="1"/>
  <c r="D201" i="1" s="1"/>
  <c r="D213" i="1" s="1"/>
  <c r="D225" i="1" s="1"/>
  <c r="D237" i="1" s="1"/>
  <c r="D249" i="1" s="1"/>
  <c r="D261" i="1" s="1"/>
  <c r="D273" i="1" s="1"/>
  <c r="D285" i="1" s="1"/>
  <c r="D106" i="1"/>
  <c r="D107" i="1"/>
  <c r="D108" i="1"/>
  <c r="D110" i="1"/>
  <c r="D111" i="1"/>
  <c r="D112" i="1"/>
  <c r="D113" i="1"/>
  <c r="D114" i="1"/>
  <c r="D115" i="1"/>
  <c r="D116" i="1"/>
  <c r="D118" i="1"/>
  <c r="D119" i="1"/>
  <c r="D120" i="1"/>
  <c r="D122" i="1"/>
  <c r="D123" i="1"/>
  <c r="D124" i="1"/>
  <c r="D125" i="1"/>
  <c r="D126" i="1"/>
  <c r="D127" i="1"/>
  <c r="D128" i="1"/>
  <c r="D130" i="1"/>
  <c r="D131" i="1"/>
  <c r="D132" i="1"/>
  <c r="D134" i="1"/>
  <c r="D135" i="1"/>
  <c r="D136" i="1"/>
  <c r="D137" i="1"/>
  <c r="D138" i="1"/>
  <c r="D139" i="1"/>
  <c r="D140" i="1"/>
  <c r="D142" i="1"/>
  <c r="D143" i="1"/>
  <c r="D144" i="1"/>
  <c r="D146" i="1"/>
  <c r="D147" i="1"/>
  <c r="D148" i="1"/>
  <c r="D149" i="1"/>
  <c r="D150" i="1"/>
  <c r="D151" i="1"/>
  <c r="D152" i="1"/>
  <c r="D154" i="1"/>
  <c r="D155" i="1"/>
  <c r="D156" i="1"/>
  <c r="D158" i="1"/>
  <c r="D159" i="1"/>
  <c r="D160" i="1"/>
  <c r="D161" i="1"/>
  <c r="D162" i="1"/>
  <c r="D163" i="1"/>
  <c r="D164" i="1"/>
  <c r="D166" i="1"/>
  <c r="D167" i="1"/>
  <c r="D168" i="1"/>
  <c r="D170" i="1"/>
  <c r="D171" i="1"/>
  <c r="D172" i="1"/>
  <c r="D173" i="1"/>
  <c r="D174" i="1"/>
  <c r="D175" i="1"/>
  <c r="D176" i="1"/>
  <c r="D178" i="1"/>
  <c r="D179" i="1"/>
  <c r="D180" i="1"/>
  <c r="D182" i="1"/>
  <c r="D183" i="1"/>
  <c r="D184" i="1"/>
  <c r="D185" i="1"/>
  <c r="D186" i="1"/>
  <c r="D187" i="1"/>
  <c r="D188" i="1"/>
  <c r="D190" i="1"/>
  <c r="D191" i="1"/>
  <c r="D192" i="1"/>
  <c r="D194" i="1"/>
  <c r="D195" i="1"/>
  <c r="D196" i="1"/>
  <c r="D197" i="1"/>
  <c r="D198" i="1"/>
  <c r="D199" i="1"/>
  <c r="D200" i="1"/>
  <c r="D202" i="1"/>
  <c r="D203" i="1"/>
  <c r="D204" i="1"/>
  <c r="D206" i="1"/>
  <c r="D207" i="1"/>
  <c r="D208" i="1"/>
  <c r="D209" i="1"/>
  <c r="D210" i="1"/>
  <c r="D211" i="1"/>
  <c r="D212" i="1"/>
  <c r="D214" i="1"/>
  <c r="D215" i="1"/>
  <c r="D216" i="1"/>
  <c r="D218" i="1"/>
  <c r="D219" i="1"/>
  <c r="D220" i="1"/>
  <c r="D221" i="1"/>
  <c r="D222" i="1"/>
  <c r="D223" i="1"/>
  <c r="D224" i="1"/>
  <c r="D226" i="1"/>
  <c r="D227" i="1"/>
  <c r="D228" i="1"/>
  <c r="D230" i="1"/>
  <c r="D231" i="1"/>
  <c r="D232" i="1"/>
  <c r="D233" i="1"/>
  <c r="D234" i="1"/>
  <c r="D235" i="1"/>
  <c r="D236" i="1"/>
  <c r="D238" i="1"/>
  <c r="D239" i="1"/>
  <c r="D240" i="1"/>
  <c r="D242" i="1"/>
  <c r="D243" i="1"/>
  <c r="D244" i="1"/>
  <c r="D245" i="1"/>
  <c r="D246" i="1"/>
  <c r="D247" i="1"/>
  <c r="D248" i="1"/>
  <c r="D250" i="1"/>
  <c r="D251" i="1"/>
  <c r="D252" i="1"/>
  <c r="D254" i="1"/>
  <c r="D255" i="1"/>
  <c r="D256" i="1"/>
  <c r="D257" i="1"/>
  <c r="D258" i="1"/>
  <c r="D259" i="1"/>
  <c r="D260" i="1"/>
  <c r="D262" i="1"/>
  <c r="D263" i="1"/>
  <c r="D264" i="1"/>
  <c r="D266" i="1"/>
  <c r="D267" i="1"/>
  <c r="D268" i="1"/>
  <c r="D269" i="1"/>
  <c r="D270" i="1"/>
  <c r="D271" i="1"/>
  <c r="D272" i="1"/>
  <c r="D274" i="1"/>
  <c r="D275" i="1"/>
  <c r="D276" i="1"/>
  <c r="D278" i="1"/>
  <c r="D279" i="1"/>
  <c r="D280" i="1"/>
  <c r="D281" i="1"/>
  <c r="D282" i="1"/>
  <c r="D283" i="1"/>
  <c r="D284" i="1"/>
  <c r="D286" i="1"/>
  <c r="D287" i="1"/>
  <c r="D288" i="1"/>
  <c r="D290" i="1"/>
  <c r="D15" i="1"/>
  <c r="D16" i="1"/>
  <c r="D17" i="1"/>
  <c r="D18" i="1"/>
  <c r="D19" i="1"/>
  <c r="D20" i="1"/>
  <c r="D21" i="1"/>
  <c r="D22" i="1"/>
  <c r="D23" i="1"/>
  <c r="D24" i="1"/>
  <c r="D25" i="1"/>
  <c r="D14" i="1"/>
  <c r="A15" i="1"/>
  <c r="A16" i="1"/>
  <c r="A28" i="1" s="1"/>
  <c r="A40" i="1" s="1"/>
  <c r="A52" i="1" s="1"/>
  <c r="A64" i="1" s="1"/>
  <c r="A76" i="1" s="1"/>
  <c r="A88" i="1" s="1"/>
  <c r="A100" i="1" s="1"/>
  <c r="A112" i="1" s="1"/>
  <c r="A124" i="1" s="1"/>
  <c r="A136" i="1" s="1"/>
  <c r="A148" i="1" s="1"/>
  <c r="A160" i="1" s="1"/>
  <c r="A172" i="1" s="1"/>
  <c r="A184" i="1" s="1"/>
  <c r="A196" i="1" s="1"/>
  <c r="A208" i="1" s="1"/>
  <c r="A220" i="1" s="1"/>
  <c r="A232" i="1" s="1"/>
  <c r="A244" i="1" s="1"/>
  <c r="A256" i="1" s="1"/>
  <c r="A268" i="1" s="1"/>
  <c r="A280" i="1" s="1"/>
  <c r="A17" i="1"/>
  <c r="A29" i="1" s="1"/>
  <c r="A41" i="1" s="1"/>
  <c r="A53" i="1" s="1"/>
  <c r="A65" i="1" s="1"/>
  <c r="A77" i="1" s="1"/>
  <c r="A89" i="1" s="1"/>
  <c r="A101" i="1" s="1"/>
  <c r="A113" i="1" s="1"/>
  <c r="A125" i="1" s="1"/>
  <c r="A137" i="1" s="1"/>
  <c r="A149" i="1" s="1"/>
  <c r="A161" i="1" s="1"/>
  <c r="A173" i="1" s="1"/>
  <c r="A185" i="1" s="1"/>
  <c r="A197" i="1" s="1"/>
  <c r="A209" i="1" s="1"/>
  <c r="A221" i="1" s="1"/>
  <c r="A233" i="1" s="1"/>
  <c r="A245" i="1" s="1"/>
  <c r="A257" i="1" s="1"/>
  <c r="A269" i="1" s="1"/>
  <c r="A281" i="1" s="1"/>
  <c r="A18" i="1"/>
  <c r="A19" i="1"/>
  <c r="A20" i="1"/>
  <c r="A32" i="1" s="1"/>
  <c r="A44" i="1" s="1"/>
  <c r="A56" i="1" s="1"/>
  <c r="A68" i="1" s="1"/>
  <c r="A80" i="1" s="1"/>
  <c r="A92" i="1" s="1"/>
  <c r="A104" i="1" s="1"/>
  <c r="A116" i="1" s="1"/>
  <c r="A128" i="1" s="1"/>
  <c r="A140" i="1" s="1"/>
  <c r="A152" i="1" s="1"/>
  <c r="A164" i="1" s="1"/>
  <c r="A176" i="1" s="1"/>
  <c r="A188" i="1" s="1"/>
  <c r="A200" i="1" s="1"/>
  <c r="A212" i="1" s="1"/>
  <c r="A224" i="1" s="1"/>
  <c r="A236" i="1" s="1"/>
  <c r="A248" i="1" s="1"/>
  <c r="A260" i="1" s="1"/>
  <c r="A272" i="1" s="1"/>
  <c r="A284" i="1" s="1"/>
  <c r="A21" i="1"/>
  <c r="A33" i="1" s="1"/>
  <c r="A45" i="1" s="1"/>
  <c r="A57" i="1" s="1"/>
  <c r="A69" i="1" s="1"/>
  <c r="A81" i="1" s="1"/>
  <c r="A93" i="1" s="1"/>
  <c r="A105" i="1" s="1"/>
  <c r="A117" i="1" s="1"/>
  <c r="A129" i="1" s="1"/>
  <c r="A141" i="1" s="1"/>
  <c r="A153" i="1" s="1"/>
  <c r="A165" i="1" s="1"/>
  <c r="A177" i="1" s="1"/>
  <c r="A189" i="1" s="1"/>
  <c r="A201" i="1" s="1"/>
  <c r="A213" i="1" s="1"/>
  <c r="A225" i="1" s="1"/>
  <c r="A237" i="1" s="1"/>
  <c r="A249" i="1" s="1"/>
  <c r="A261" i="1" s="1"/>
  <c r="A273" i="1" s="1"/>
  <c r="A285" i="1" s="1"/>
  <c r="A22" i="1"/>
  <c r="A23" i="1"/>
  <c r="A24" i="1"/>
  <c r="A36" i="1" s="1"/>
  <c r="A48" i="1" s="1"/>
  <c r="A60" i="1" s="1"/>
  <c r="A72" i="1" s="1"/>
  <c r="A84" i="1" s="1"/>
  <c r="A96" i="1" s="1"/>
  <c r="A108" i="1" s="1"/>
  <c r="A120" i="1" s="1"/>
  <c r="A132" i="1" s="1"/>
  <c r="A144" i="1" s="1"/>
  <c r="A156" i="1" s="1"/>
  <c r="A168" i="1" s="1"/>
  <c r="A180" i="1" s="1"/>
  <c r="A192" i="1" s="1"/>
  <c r="A204" i="1" s="1"/>
  <c r="A216" i="1" s="1"/>
  <c r="A228" i="1" s="1"/>
  <c r="A240" i="1" s="1"/>
  <c r="A252" i="1" s="1"/>
  <c r="A264" i="1" s="1"/>
  <c r="A276" i="1" s="1"/>
  <c r="A288" i="1" s="1"/>
  <c r="A25" i="1"/>
  <c r="A37" i="1" s="1"/>
  <c r="A49" i="1" s="1"/>
  <c r="A61" i="1" s="1"/>
  <c r="A73" i="1" s="1"/>
  <c r="A85" i="1" s="1"/>
  <c r="A97" i="1" s="1"/>
  <c r="A109" i="1" s="1"/>
  <c r="A121" i="1" s="1"/>
  <c r="A133" i="1" s="1"/>
  <c r="A145" i="1" s="1"/>
  <c r="A157" i="1" s="1"/>
  <c r="A169" i="1" s="1"/>
  <c r="A181" i="1" s="1"/>
  <c r="A193" i="1" s="1"/>
  <c r="A205" i="1" s="1"/>
  <c r="A217" i="1" s="1"/>
  <c r="A229" i="1" s="1"/>
  <c r="A241" i="1" s="1"/>
  <c r="A253" i="1" s="1"/>
  <c r="A265" i="1" s="1"/>
  <c r="A277" i="1" s="1"/>
  <c r="A289" i="1" s="1"/>
  <c r="A27" i="1"/>
  <c r="A39" i="1" s="1"/>
  <c r="A51" i="1" s="1"/>
  <c r="A63" i="1" s="1"/>
  <c r="A75" i="1" s="1"/>
  <c r="A87" i="1" s="1"/>
  <c r="A99" i="1" s="1"/>
  <c r="A111" i="1" s="1"/>
  <c r="A123" i="1" s="1"/>
  <c r="A135" i="1" s="1"/>
  <c r="A147" i="1" s="1"/>
  <c r="A159" i="1" s="1"/>
  <c r="A171" i="1" s="1"/>
  <c r="A183" i="1" s="1"/>
  <c r="A195" i="1" s="1"/>
  <c r="A207" i="1" s="1"/>
  <c r="A219" i="1" s="1"/>
  <c r="A231" i="1" s="1"/>
  <c r="A243" i="1" s="1"/>
  <c r="A255" i="1" s="1"/>
  <c r="A267" i="1" s="1"/>
  <c r="A279" i="1" s="1"/>
  <c r="A30" i="1"/>
  <c r="A42" i="1" s="1"/>
  <c r="A54" i="1" s="1"/>
  <c r="A66" i="1" s="1"/>
  <c r="A78" i="1" s="1"/>
  <c r="A90" i="1" s="1"/>
  <c r="A102" i="1" s="1"/>
  <c r="A114" i="1" s="1"/>
  <c r="A126" i="1" s="1"/>
  <c r="A138" i="1" s="1"/>
  <c r="A150" i="1" s="1"/>
  <c r="A162" i="1" s="1"/>
  <c r="A174" i="1" s="1"/>
  <c r="A186" i="1" s="1"/>
  <c r="A198" i="1" s="1"/>
  <c r="A210" i="1" s="1"/>
  <c r="A222" i="1" s="1"/>
  <c r="A234" i="1" s="1"/>
  <c r="A246" i="1" s="1"/>
  <c r="A258" i="1" s="1"/>
  <c r="A270" i="1" s="1"/>
  <c r="A282" i="1" s="1"/>
  <c r="A31" i="1"/>
  <c r="A43" i="1" s="1"/>
  <c r="A55" i="1" s="1"/>
  <c r="A67" i="1" s="1"/>
  <c r="A79" i="1" s="1"/>
  <c r="A91" i="1" s="1"/>
  <c r="A103" i="1" s="1"/>
  <c r="A115" i="1" s="1"/>
  <c r="A127" i="1" s="1"/>
  <c r="A139" i="1" s="1"/>
  <c r="A151" i="1" s="1"/>
  <c r="A163" i="1" s="1"/>
  <c r="A175" i="1" s="1"/>
  <c r="A187" i="1" s="1"/>
  <c r="A199" i="1" s="1"/>
  <c r="A211" i="1" s="1"/>
  <c r="A223" i="1" s="1"/>
  <c r="A235" i="1" s="1"/>
  <c r="A247" i="1" s="1"/>
  <c r="A259" i="1" s="1"/>
  <c r="A271" i="1" s="1"/>
  <c r="A283" i="1" s="1"/>
  <c r="A34" i="1"/>
  <c r="A46" i="1" s="1"/>
  <c r="A58" i="1" s="1"/>
  <c r="A70" i="1" s="1"/>
  <c r="A82" i="1" s="1"/>
  <c r="A94" i="1" s="1"/>
  <c r="A106" i="1" s="1"/>
  <c r="A118" i="1" s="1"/>
  <c r="A130" i="1" s="1"/>
  <c r="A142" i="1" s="1"/>
  <c r="A154" i="1" s="1"/>
  <c r="A166" i="1" s="1"/>
  <c r="A178" i="1" s="1"/>
  <c r="A190" i="1" s="1"/>
  <c r="A202" i="1" s="1"/>
  <c r="A214" i="1" s="1"/>
  <c r="A226" i="1" s="1"/>
  <c r="A238" i="1" s="1"/>
  <c r="A250" i="1" s="1"/>
  <c r="A262" i="1" s="1"/>
  <c r="A274" i="1" s="1"/>
  <c r="A286" i="1" s="1"/>
  <c r="A35" i="1"/>
  <c r="A47" i="1" s="1"/>
  <c r="A59" i="1" s="1"/>
  <c r="A71" i="1" s="1"/>
  <c r="A83" i="1" s="1"/>
  <c r="A95" i="1" s="1"/>
  <c r="A107" i="1" s="1"/>
  <c r="A119" i="1" s="1"/>
  <c r="A131" i="1" s="1"/>
  <c r="A143" i="1" s="1"/>
  <c r="A155" i="1" s="1"/>
  <c r="A167" i="1" s="1"/>
  <c r="A179" i="1" s="1"/>
  <c r="A191" i="1" s="1"/>
  <c r="A203" i="1" s="1"/>
  <c r="A215" i="1" s="1"/>
  <c r="A227" i="1" s="1"/>
  <c r="A239" i="1" s="1"/>
  <c r="A251" i="1" s="1"/>
  <c r="A263" i="1" s="1"/>
  <c r="A275" i="1" s="1"/>
  <c r="A287" i="1" s="1"/>
  <c r="A14" i="1"/>
  <c r="A26" i="1" s="1"/>
  <c r="A38" i="1" s="1"/>
  <c r="A50" i="1" s="1"/>
  <c r="A62" i="1" s="1"/>
  <c r="A74" i="1" s="1"/>
  <c r="A86" i="1" s="1"/>
  <c r="A98" i="1" s="1"/>
  <c r="A110" i="1" s="1"/>
  <c r="A122" i="1" s="1"/>
  <c r="A134" i="1" s="1"/>
  <c r="A146" i="1" s="1"/>
  <c r="A158" i="1" s="1"/>
  <c r="A170" i="1" s="1"/>
  <c r="A182" i="1" s="1"/>
  <c r="A194" i="1" s="1"/>
  <c r="A206" i="1" s="1"/>
  <c r="A218" i="1" s="1"/>
  <c r="A230" i="1" s="1"/>
  <c r="A242" i="1" s="1"/>
  <c r="A254" i="1" s="1"/>
  <c r="A266" i="1" s="1"/>
  <c r="A278" i="1" s="1"/>
  <c r="A290" i="1" s="1"/>
  <c r="I46" i="4" l="1" a="1"/>
  <c r="I46" i="4" s="1"/>
  <c r="G46" i="4" a="1"/>
  <c r="G46" i="4" s="1"/>
  <c r="K46" i="4" a="1"/>
  <c r="K46" i="4" s="1"/>
  <c r="E16" i="4" a="1"/>
  <c r="E16" i="4" s="1"/>
  <c r="Q16" i="4" a="1"/>
  <c r="Q16" i="4" s="1"/>
  <c r="U16" i="4" a="1"/>
  <c r="U16" i="4" s="1"/>
  <c r="W16" i="4" a="1"/>
  <c r="W16" i="4" s="1"/>
  <c r="Y16" i="4" a="1"/>
  <c r="Y16" i="4" s="1"/>
  <c r="S16" i="4" a="1"/>
  <c r="S16" i="4" s="1"/>
  <c r="G16" i="4" a="1"/>
  <c r="G16" i="4" s="1"/>
  <c r="K16" i="4" a="1"/>
  <c r="K16" i="4" s="1"/>
  <c r="M16" i="4" a="1"/>
  <c r="M16" i="4" s="1"/>
  <c r="O16" i="4" a="1"/>
  <c r="O16" i="4" s="1"/>
  <c r="I16" i="4" a="1"/>
  <c r="I16" i="4" s="1"/>
  <c r="G16" i="2" a="1"/>
  <c r="G16" i="2" s="1"/>
  <c r="K16" i="2" a="1"/>
  <c r="K16" i="2" s="1"/>
  <c r="M16" i="2" a="1"/>
  <c r="M1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<sst xmlns="http://schemas.openxmlformats.org/spreadsheetml/2006/main" count="706" uniqueCount="56">
  <si>
    <t>Año</t>
  </si>
  <si>
    <t>Mes</t>
  </si>
  <si>
    <t>Anio</t>
  </si>
  <si>
    <t>Value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</si>
  <si>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</si>
  <si>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</si>
  <si>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</si>
  <si>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</si>
  <si>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</si>
  <si>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</si>
  <si>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</si>
  <si>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</si>
  <si>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</si>
  <si>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</si>
  <si>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</si>
  <si>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</si>
  <si>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Fecha</t>
  </si>
  <si>
    <t>Contador</t>
  </si>
  <si>
    <t>Sarima</t>
  </si>
  <si>
    <t>NA</t>
  </si>
  <si>
    <t>Evaluación RMSE</t>
  </si>
  <si>
    <t>Datos Relaes</t>
  </si>
  <si>
    <t>Datos SARIMA</t>
  </si>
  <si>
    <t>Diferencia</t>
  </si>
  <si>
    <t>RMSE</t>
  </si>
  <si>
    <t>Serie Original</t>
  </si>
  <si>
    <t>Promedio Moviles</t>
  </si>
  <si>
    <t>Suavizamiento exponencial</t>
  </si>
  <si>
    <t>Desestacionalización</t>
  </si>
  <si>
    <t>Mes-Año</t>
  </si>
  <si>
    <t>Real</t>
  </si>
  <si>
    <t>Desestacionalizacion</t>
  </si>
  <si>
    <t>Apr-2024</t>
  </si>
  <si>
    <t>Aug-2024</t>
  </si>
  <si>
    <t>Dec-2024</t>
  </si>
  <si>
    <t>Jan-2025</t>
  </si>
  <si>
    <t>Evaluación RMSE (Promedios moviles)</t>
  </si>
  <si>
    <t>Ancho 2</t>
  </si>
  <si>
    <t>Ancho 4</t>
  </si>
  <si>
    <t>Ancho 6</t>
  </si>
  <si>
    <t>Ancho 8</t>
  </si>
  <si>
    <t>Ancho 10</t>
  </si>
  <si>
    <t>Ancho 12</t>
  </si>
  <si>
    <t>Ancho 14</t>
  </si>
  <si>
    <t>Ancho 16</t>
  </si>
  <si>
    <t>Ancho 18</t>
  </si>
  <si>
    <t>Ancho 20</t>
  </si>
  <si>
    <t>Ancho 22</t>
  </si>
  <si>
    <t>Ancho 24</t>
  </si>
  <si>
    <t>Mejor Modelo Promedio Movil</t>
  </si>
  <si>
    <t>Mapa de calor</t>
  </si>
  <si>
    <t>Datos Originales</t>
  </si>
  <si>
    <t>Promedio Movil (2)</t>
  </si>
  <si>
    <t>Holt -Winters</t>
  </si>
  <si>
    <t>Comparación Holt Winters - SARIMA</t>
  </si>
  <si>
    <t>SARIMA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</si>
</sst>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224568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rgb="FF224568"/>
      <name val="Aptos Narrow"/>
      <family val="2"/>
      <scheme val="minor"/>
    </font>
    <font>
      <b/>
      <sz val="8"/>
      <color rgb="FFFFFFFF"/>
      <name val="Segoe UI"/>
      <family val="2"/>
    </font>
    <font>
      <sz val="8"/>
      <color theme="1"/>
      <name val="Segoe UI"/>
      <family val="2"/>
    </font>
    <font>
      <sz val="11"/>
      <color theme="8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24568"/>
        <bgColor indexed="64"/>
      </patternFill>
    </fill>
    <fill>
      <patternFill patternType="solid">
        <fgColor rgb="FFBAD1E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3A4A"/>
        <bgColor indexed="64"/>
      </patternFill>
    </fill>
    <fill>
      <patternFill patternType="solid">
        <fgColor rgb="FFF4B6B6"/>
        <bgColor indexed="64"/>
      </patternFill>
    </fill>
    <fill>
      <patternFill patternType="solid">
        <fgColor rgb="FFE7F4B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2EEFA"/>
        <bgColor indexed="64"/>
      </patternFill>
    </fill>
  </fills>
  <borders count="5">
    <border>
      <left/>
      <right/>
      <top/>
      <bottom/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rgb="FFD0D0D0"/>
      </left>
      <right style="medium">
        <color rgb="FFD0D0D0"/>
      </right>
      <top style="medium">
        <color rgb="FFD0D0D0"/>
      </top>
      <bottom style="medium">
        <color rgb="FFD0D0D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4" fillId="5" borderId="0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6" fillId="4" borderId="1" xfId="0" applyFont="1" applyFill="1" applyBorder="1" applyAlignment="1">
      <alignment horizontal="center"/>
    </xf>
    <xf numFmtId="2" fontId="6" fillId="4" borderId="0" xfId="0" applyNumberFormat="1" applyFont="1" applyFill="1" applyBorder="1" applyAlignment="1">
      <alignment horizontal="center"/>
    </xf>
    <xf numFmtId="2" fontId="6" fillId="4" borderId="1" xfId="0" applyNumberFormat="1" applyFont="1" applyFill="1" applyBorder="1" applyAlignment="1">
      <alignment horizontal="center"/>
    </xf>
    <xf numFmtId="0" fontId="7" fillId="7" borderId="0" xfId="0" applyFont="1" applyFill="1" applyAlignment="1">
      <alignment horizontal="right" vertical="center" wrapText="1"/>
    </xf>
    <xf numFmtId="0" fontId="8" fillId="6" borderId="4" xfId="0" applyFont="1" applyFill="1" applyBorder="1" applyAlignment="1">
      <alignment horizontal="right" vertical="center" wrapText="1"/>
    </xf>
    <xf numFmtId="4" fontId="8" fillId="6" borderId="4" xfId="0" applyNumberFormat="1" applyFont="1" applyFill="1" applyBorder="1" applyAlignment="1">
      <alignment horizontal="right" vertical="center" wrapText="1"/>
    </xf>
    <xf numFmtId="17" fontId="8" fillId="6" borderId="4" xfId="0" applyNumberFormat="1" applyFont="1" applyFill="1" applyBorder="1" applyAlignment="1">
      <alignment horizontal="right" vertical="center" wrapText="1"/>
    </xf>
    <xf numFmtId="0" fontId="2" fillId="13" borderId="0" xfId="0" applyFont="1" applyFill="1" applyAlignment="1">
      <alignment horizontal="center"/>
    </xf>
    <xf numFmtId="14" fontId="0" fillId="2" borderId="0" xfId="0" applyNumberFormat="1" applyFill="1" applyAlignment="1">
      <alignment horizontal="center"/>
    </xf>
    <xf numFmtId="4" fontId="0" fillId="2" borderId="0" xfId="0" applyNumberFormat="1" applyFill="1" applyAlignment="1">
      <alignment horizontal="center"/>
    </xf>
    <xf numFmtId="0" fontId="9" fillId="2" borderId="0" xfId="0" applyFont="1" applyFill="1" applyAlignment="1">
      <alignment horizontal="center"/>
    </xf>
    <xf numFmtId="14" fontId="9" fillId="2" borderId="0" xfId="0" applyNumberFormat="1" applyFont="1" applyFill="1" applyAlignment="1">
      <alignment horizontal="center"/>
    </xf>
    <xf numFmtId="4" fontId="9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4" fontId="10" fillId="2" borderId="0" xfId="0" applyNumberFormat="1" applyFont="1" applyFill="1" applyAlignment="1">
      <alignment horizontal="center"/>
    </xf>
    <xf numFmtId="4" fontId="10" fillId="2" borderId="0" xfId="0" applyNumberFormat="1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5" fillId="13" borderId="0" xfId="0" applyFont="1" applyFill="1" applyAlignment="1">
      <alignment horizontal="center"/>
    </xf>
    <xf numFmtId="0" fontId="0" fillId="2" borderId="0" xfId="0" applyFill="1" applyBorder="1"/>
    <xf numFmtId="0" fontId="0" fillId="14" borderId="1" xfId="0" applyFont="1" applyFill="1" applyBorder="1" applyAlignment="1">
      <alignment horizontal="center" vertical="center" wrapText="1"/>
    </xf>
    <xf numFmtId="4" fontId="0" fillId="15" borderId="1" xfId="0" applyNumberFormat="1" applyFont="1" applyFill="1" applyBorder="1" applyAlignment="1">
      <alignment horizontal="center" vertical="center" wrapText="1"/>
    </xf>
    <xf numFmtId="4" fontId="0" fillId="2" borderId="0" xfId="0" applyNumberFormat="1" applyFont="1" applyFill="1" applyBorder="1" applyAlignment="1">
      <alignment horizontal="center" vertical="center" wrapText="1"/>
    </xf>
    <xf numFmtId="17" fontId="0" fillId="14" borderId="1" xfId="0" applyNumberFormat="1" applyFont="1" applyFill="1" applyBorder="1" applyAlignment="1">
      <alignment horizontal="center" vertical="center" wrapText="1"/>
    </xf>
    <xf numFmtId="4" fontId="0" fillId="8" borderId="0" xfId="0" applyNumberFormat="1" applyFont="1" applyFill="1" applyBorder="1" applyAlignment="1">
      <alignment horizontal="center" vertical="center" wrapText="1"/>
    </xf>
    <xf numFmtId="4" fontId="0" fillId="9" borderId="0" xfId="0" applyNumberFormat="1" applyFont="1" applyFill="1" applyBorder="1" applyAlignment="1">
      <alignment horizontal="center" vertical="center" wrapText="1"/>
    </xf>
    <xf numFmtId="4" fontId="0" fillId="10" borderId="0" xfId="0" applyNumberFormat="1" applyFont="1" applyFill="1" applyBorder="1" applyAlignment="1">
      <alignment horizontal="center" vertical="center" wrapText="1"/>
    </xf>
    <xf numFmtId="4" fontId="0" fillId="11" borderId="0" xfId="0" applyNumberFormat="1" applyFont="1" applyFill="1" applyBorder="1" applyAlignment="1">
      <alignment horizontal="center" vertical="center" wrapText="1"/>
    </xf>
    <xf numFmtId="4" fontId="0" fillId="12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EEFA"/>
      <color rgb="FF224568"/>
      <color rgb="FFBAD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3DFF-60CB-488D-86F8-004FD3FB71B3}">
  <dimension ref="A1:F290"/>
  <sheetViews>
    <sheetView topLeftCell="A266" workbookViewId="0">
      <selection activeCell="J266" sqref="J266"/>
    </sheetView>
  </sheetViews>
  <sheetFormatPr baseColWidth="10" defaultRowHeight="14.4" x14ac:dyDescent="0.3"/>
  <cols>
    <col min="1" max="16384" width="11.5546875" style="1"/>
  </cols>
  <sheetData>
    <row r="1" spans="1:6" x14ac:dyDescent="0.3">
      <c r="A1" s="26" t="s">
        <v>2</v>
      </c>
      <c r="B1" s="26" t="s">
        <v>1</v>
      </c>
      <c r="C1" s="26" t="s">
        <v>16</v>
      </c>
      <c r="D1" s="26" t="s">
        <v>17</v>
      </c>
      <c r="E1" s="26" t="s">
        <v>3</v>
      </c>
      <c r="F1" s="26" t="s">
        <v>18</v>
      </c>
    </row>
    <row r="2" spans="1:6" x14ac:dyDescent="0.3">
      <c r="A2" s="2">
        <v>2002</v>
      </c>
      <c r="B2" s="2" t="s">
        <v>4</v>
      </c>
      <c r="C2" s="27">
        <v>37257</v>
      </c>
      <c r="D2" s="2">
        <v>1</v>
      </c>
      <c r="E2" s="28">
        <v>83.2</v>
      </c>
      <c r="F2" s="2" t="s">
        <v>19</v>
      </c>
    </row>
    <row r="3" spans="1:6" x14ac:dyDescent="0.3">
      <c r="A3" s="2">
        <v>2002</v>
      </c>
      <c r="B3" s="2" t="s">
        <v>5</v>
      </c>
      <c r="C3" s="27">
        <v>37288</v>
      </c>
      <c r="D3" s="2">
        <v>2</v>
      </c>
      <c r="E3" s="28">
        <v>96.7</v>
      </c>
      <c r="F3" s="2" t="s">
        <v>19</v>
      </c>
    </row>
    <row r="4" spans="1:6" x14ac:dyDescent="0.3">
      <c r="A4" s="2">
        <v>2002</v>
      </c>
      <c r="B4" s="2" t="s">
        <v>6</v>
      </c>
      <c r="C4" s="27">
        <v>37316</v>
      </c>
      <c r="D4" s="2">
        <v>3</v>
      </c>
      <c r="E4" s="28">
        <v>109</v>
      </c>
      <c r="F4" s="2" t="s">
        <v>19</v>
      </c>
    </row>
    <row r="5" spans="1:6" x14ac:dyDescent="0.3">
      <c r="A5" s="2">
        <v>2002</v>
      </c>
      <c r="B5" s="2" t="s">
        <v>7</v>
      </c>
      <c r="C5" s="27">
        <v>37347</v>
      </c>
      <c r="D5" s="2">
        <v>4</v>
      </c>
      <c r="E5" s="28">
        <v>139.19999999999999</v>
      </c>
      <c r="F5" s="2" t="s">
        <v>19</v>
      </c>
    </row>
    <row r="6" spans="1:6" x14ac:dyDescent="0.3">
      <c r="A6" s="2">
        <v>2002</v>
      </c>
      <c r="B6" s="2" t="s">
        <v>8</v>
      </c>
      <c r="C6" s="27">
        <v>37377</v>
      </c>
      <c r="D6" s="2">
        <v>5</v>
      </c>
      <c r="E6" s="28">
        <v>89.8</v>
      </c>
      <c r="F6" s="2" t="s">
        <v>19</v>
      </c>
    </row>
    <row r="7" spans="1:6" x14ac:dyDescent="0.3">
      <c r="A7" s="2">
        <v>2002</v>
      </c>
      <c r="B7" s="2" t="s">
        <v>9</v>
      </c>
      <c r="C7" s="27">
        <v>37408</v>
      </c>
      <c r="D7" s="2">
        <v>6</v>
      </c>
      <c r="E7" s="28">
        <v>128</v>
      </c>
      <c r="F7" s="2" t="s">
        <v>19</v>
      </c>
    </row>
    <row r="8" spans="1:6" x14ac:dyDescent="0.3">
      <c r="A8" s="2">
        <v>2002</v>
      </c>
      <c r="B8" s="2" t="s">
        <v>10</v>
      </c>
      <c r="C8" s="27">
        <v>37438</v>
      </c>
      <c r="D8" s="2">
        <v>7</v>
      </c>
      <c r="E8" s="28">
        <v>136.5</v>
      </c>
      <c r="F8" s="2" t="s">
        <v>19</v>
      </c>
    </row>
    <row r="9" spans="1:6" x14ac:dyDescent="0.3">
      <c r="A9" s="2">
        <v>2002</v>
      </c>
      <c r="B9" s="2" t="s">
        <v>11</v>
      </c>
      <c r="C9" s="27">
        <v>37469</v>
      </c>
      <c r="D9" s="2">
        <v>8</v>
      </c>
      <c r="E9" s="28">
        <v>162.30000000000001</v>
      </c>
      <c r="F9" s="2" t="s">
        <v>19</v>
      </c>
    </row>
    <row r="10" spans="1:6" x14ac:dyDescent="0.3">
      <c r="A10" s="2">
        <v>2002</v>
      </c>
      <c r="B10" s="2" t="s">
        <v>12</v>
      </c>
      <c r="C10" s="27">
        <v>37500</v>
      </c>
      <c r="D10" s="2">
        <v>9</v>
      </c>
      <c r="E10" s="28">
        <v>157.30000000000001</v>
      </c>
      <c r="F10" s="2" t="s">
        <v>19</v>
      </c>
    </row>
    <row r="11" spans="1:6" x14ac:dyDescent="0.3">
      <c r="A11" s="2">
        <v>2002</v>
      </c>
      <c r="B11" s="2" t="s">
        <v>13</v>
      </c>
      <c r="C11" s="27">
        <v>37530</v>
      </c>
      <c r="D11" s="2">
        <v>10</v>
      </c>
      <c r="E11" s="28">
        <v>176.3</v>
      </c>
      <c r="F11" s="2" t="s">
        <v>19</v>
      </c>
    </row>
    <row r="12" spans="1:6" x14ac:dyDescent="0.3">
      <c r="A12" s="2">
        <v>2002</v>
      </c>
      <c r="B12" s="2" t="s">
        <v>14</v>
      </c>
      <c r="C12" s="27">
        <v>37561</v>
      </c>
      <c r="D12" s="2">
        <v>11</v>
      </c>
      <c r="E12" s="28">
        <v>143</v>
      </c>
      <c r="F12" s="2" t="s">
        <v>19</v>
      </c>
    </row>
    <row r="13" spans="1:6" x14ac:dyDescent="0.3">
      <c r="A13" s="2">
        <v>2002</v>
      </c>
      <c r="B13" s="2" t="s">
        <v>15</v>
      </c>
      <c r="C13" s="27">
        <v>37591</v>
      </c>
      <c r="D13" s="2">
        <v>12</v>
      </c>
      <c r="E13" s="28">
        <v>158.19999999999999</v>
      </c>
      <c r="F13" s="2" t="s">
        <v>19</v>
      </c>
    </row>
    <row r="14" spans="1:6" x14ac:dyDescent="0.3">
      <c r="A14" s="2">
        <f>+A2+1</f>
        <v>2003</v>
      </c>
      <c r="B14" s="2" t="s">
        <v>4</v>
      </c>
      <c r="C14" s="27">
        <v>37622</v>
      </c>
      <c r="D14" s="2">
        <f>+D2</f>
        <v>1</v>
      </c>
      <c r="E14" s="28">
        <v>164.8</v>
      </c>
      <c r="F14" s="2" t="s">
        <v>19</v>
      </c>
    </row>
    <row r="15" spans="1:6" x14ac:dyDescent="0.3">
      <c r="A15" s="2">
        <f t="shared" ref="A15:A78" si="0">+A3+1</f>
        <v>2003</v>
      </c>
      <c r="B15" s="2" t="s">
        <v>5</v>
      </c>
      <c r="C15" s="27">
        <v>37653</v>
      </c>
      <c r="D15" s="2">
        <f t="shared" ref="D15:D78" si="1">+D3</f>
        <v>2</v>
      </c>
      <c r="E15" s="28">
        <v>144.69999999999999</v>
      </c>
      <c r="F15" s="2" t="s">
        <v>19</v>
      </c>
    </row>
    <row r="16" spans="1:6" x14ac:dyDescent="0.3">
      <c r="A16" s="2">
        <f t="shared" si="0"/>
        <v>2003</v>
      </c>
      <c r="B16" s="2" t="s">
        <v>6</v>
      </c>
      <c r="C16" s="27">
        <v>37681</v>
      </c>
      <c r="D16" s="2">
        <f t="shared" si="1"/>
        <v>3</v>
      </c>
      <c r="E16" s="28">
        <v>160.80000000000001</v>
      </c>
      <c r="F16" s="2" t="s">
        <v>19</v>
      </c>
    </row>
    <row r="17" spans="1:6" x14ac:dyDescent="0.3">
      <c r="A17" s="2">
        <f t="shared" si="0"/>
        <v>2003</v>
      </c>
      <c r="B17" s="2" t="s">
        <v>7</v>
      </c>
      <c r="C17" s="27">
        <v>37712</v>
      </c>
      <c r="D17" s="2">
        <f t="shared" si="1"/>
        <v>4</v>
      </c>
      <c r="E17" s="28">
        <v>181.1</v>
      </c>
      <c r="F17" s="2" t="s">
        <v>19</v>
      </c>
    </row>
    <row r="18" spans="1:6" x14ac:dyDescent="0.3">
      <c r="A18" s="2">
        <f t="shared" si="0"/>
        <v>2003</v>
      </c>
      <c r="B18" s="2" t="s">
        <v>8</v>
      </c>
      <c r="C18" s="27">
        <v>37742</v>
      </c>
      <c r="D18" s="2">
        <f t="shared" si="1"/>
        <v>5</v>
      </c>
      <c r="E18" s="28">
        <v>187.4</v>
      </c>
      <c r="F18" s="2" t="s">
        <v>19</v>
      </c>
    </row>
    <row r="19" spans="1:6" x14ac:dyDescent="0.3">
      <c r="A19" s="2">
        <f t="shared" si="0"/>
        <v>2003</v>
      </c>
      <c r="B19" s="2" t="s">
        <v>9</v>
      </c>
      <c r="C19" s="27">
        <v>37773</v>
      </c>
      <c r="D19" s="2">
        <f t="shared" si="1"/>
        <v>6</v>
      </c>
      <c r="E19" s="28">
        <v>161.5</v>
      </c>
      <c r="F19" s="2" t="s">
        <v>19</v>
      </c>
    </row>
    <row r="20" spans="1:6" x14ac:dyDescent="0.3">
      <c r="A20" s="2">
        <f t="shared" si="0"/>
        <v>2003</v>
      </c>
      <c r="B20" s="2" t="s">
        <v>10</v>
      </c>
      <c r="C20" s="27">
        <v>37803</v>
      </c>
      <c r="D20" s="2">
        <f t="shared" si="1"/>
        <v>7</v>
      </c>
      <c r="E20" s="28">
        <v>192</v>
      </c>
      <c r="F20" s="2" t="s">
        <v>19</v>
      </c>
    </row>
    <row r="21" spans="1:6" x14ac:dyDescent="0.3">
      <c r="A21" s="2">
        <f t="shared" si="0"/>
        <v>2003</v>
      </c>
      <c r="B21" s="2" t="s">
        <v>11</v>
      </c>
      <c r="C21" s="27">
        <v>37834</v>
      </c>
      <c r="D21" s="2">
        <f t="shared" si="1"/>
        <v>8</v>
      </c>
      <c r="E21" s="28">
        <v>178.9</v>
      </c>
      <c r="F21" s="2" t="s">
        <v>19</v>
      </c>
    </row>
    <row r="22" spans="1:6" x14ac:dyDescent="0.3">
      <c r="A22" s="2">
        <f t="shared" si="0"/>
        <v>2003</v>
      </c>
      <c r="B22" s="2" t="s">
        <v>12</v>
      </c>
      <c r="C22" s="27">
        <v>37865</v>
      </c>
      <c r="D22" s="2">
        <f t="shared" si="1"/>
        <v>9</v>
      </c>
      <c r="E22" s="28">
        <v>176.6</v>
      </c>
      <c r="F22" s="2" t="s">
        <v>19</v>
      </c>
    </row>
    <row r="23" spans="1:6" x14ac:dyDescent="0.3">
      <c r="A23" s="2">
        <f t="shared" si="0"/>
        <v>2003</v>
      </c>
      <c r="B23" s="2" t="s">
        <v>13</v>
      </c>
      <c r="C23" s="27">
        <v>37895</v>
      </c>
      <c r="D23" s="2">
        <f t="shared" si="1"/>
        <v>10</v>
      </c>
      <c r="E23" s="28">
        <v>189.9</v>
      </c>
      <c r="F23" s="2" t="s">
        <v>19</v>
      </c>
    </row>
    <row r="24" spans="1:6" x14ac:dyDescent="0.3">
      <c r="A24" s="2">
        <f t="shared" si="0"/>
        <v>2003</v>
      </c>
      <c r="B24" s="2" t="s">
        <v>14</v>
      </c>
      <c r="C24" s="27">
        <v>37926</v>
      </c>
      <c r="D24" s="2">
        <f t="shared" si="1"/>
        <v>11</v>
      </c>
      <c r="E24" s="28">
        <v>173.4</v>
      </c>
      <c r="F24" s="2" t="s">
        <v>19</v>
      </c>
    </row>
    <row r="25" spans="1:6" x14ac:dyDescent="0.3">
      <c r="A25" s="2">
        <f t="shared" si="0"/>
        <v>2003</v>
      </c>
      <c r="B25" s="2" t="s">
        <v>15</v>
      </c>
      <c r="C25" s="27">
        <v>37956</v>
      </c>
      <c r="D25" s="2">
        <f t="shared" si="1"/>
        <v>12</v>
      </c>
      <c r="E25" s="28">
        <v>195.6</v>
      </c>
      <c r="F25" s="2" t="s">
        <v>19</v>
      </c>
    </row>
    <row r="26" spans="1:6" x14ac:dyDescent="0.3">
      <c r="A26" s="2">
        <f t="shared" si="0"/>
        <v>2004</v>
      </c>
      <c r="B26" s="2" t="s">
        <v>4</v>
      </c>
      <c r="C26" s="27">
        <v>37987</v>
      </c>
      <c r="D26" s="2">
        <f t="shared" si="1"/>
        <v>1</v>
      </c>
      <c r="E26" s="28">
        <v>194.7</v>
      </c>
      <c r="F26" s="2" t="s">
        <v>19</v>
      </c>
    </row>
    <row r="27" spans="1:6" x14ac:dyDescent="0.3">
      <c r="A27" s="2">
        <f t="shared" si="0"/>
        <v>2004</v>
      </c>
      <c r="B27" s="2" t="s">
        <v>5</v>
      </c>
      <c r="C27" s="27">
        <v>38018</v>
      </c>
      <c r="D27" s="2">
        <f t="shared" si="1"/>
        <v>2</v>
      </c>
      <c r="E27" s="28">
        <v>183.7</v>
      </c>
      <c r="F27" s="2" t="s">
        <v>19</v>
      </c>
    </row>
    <row r="28" spans="1:6" x14ac:dyDescent="0.3">
      <c r="A28" s="2">
        <f t="shared" si="0"/>
        <v>2004</v>
      </c>
      <c r="B28" s="2" t="s">
        <v>6</v>
      </c>
      <c r="C28" s="27">
        <v>38047</v>
      </c>
      <c r="D28" s="2">
        <f t="shared" si="1"/>
        <v>3</v>
      </c>
      <c r="E28" s="28">
        <v>227.9</v>
      </c>
      <c r="F28" s="2" t="s">
        <v>19</v>
      </c>
    </row>
    <row r="29" spans="1:6" x14ac:dyDescent="0.3">
      <c r="A29" s="2">
        <f t="shared" si="0"/>
        <v>2004</v>
      </c>
      <c r="B29" s="2" t="s">
        <v>7</v>
      </c>
      <c r="C29" s="27">
        <v>38078</v>
      </c>
      <c r="D29" s="2">
        <f t="shared" si="1"/>
        <v>4</v>
      </c>
      <c r="E29" s="28">
        <v>204</v>
      </c>
      <c r="F29" s="2" t="s">
        <v>19</v>
      </c>
    </row>
    <row r="30" spans="1:6" x14ac:dyDescent="0.3">
      <c r="A30" s="2">
        <f t="shared" si="0"/>
        <v>2004</v>
      </c>
      <c r="B30" s="2" t="s">
        <v>8</v>
      </c>
      <c r="C30" s="27">
        <v>38108</v>
      </c>
      <c r="D30" s="2">
        <f t="shared" si="1"/>
        <v>5</v>
      </c>
      <c r="E30" s="28">
        <v>210.8</v>
      </c>
      <c r="F30" s="2" t="s">
        <v>19</v>
      </c>
    </row>
    <row r="31" spans="1:6" x14ac:dyDescent="0.3">
      <c r="A31" s="2">
        <f t="shared" si="0"/>
        <v>2004</v>
      </c>
      <c r="B31" s="2" t="s">
        <v>9</v>
      </c>
      <c r="C31" s="27">
        <v>38139</v>
      </c>
      <c r="D31" s="2">
        <f t="shared" si="1"/>
        <v>6</v>
      </c>
      <c r="E31" s="28">
        <v>212.1</v>
      </c>
      <c r="F31" s="2" t="s">
        <v>19</v>
      </c>
    </row>
    <row r="32" spans="1:6" x14ac:dyDescent="0.3">
      <c r="A32" s="2">
        <f t="shared" si="0"/>
        <v>2004</v>
      </c>
      <c r="B32" s="2" t="s">
        <v>10</v>
      </c>
      <c r="C32" s="27">
        <v>38169</v>
      </c>
      <c r="D32" s="2">
        <f t="shared" si="1"/>
        <v>7</v>
      </c>
      <c r="E32" s="28">
        <v>206.6</v>
      </c>
      <c r="F32" s="2" t="s">
        <v>19</v>
      </c>
    </row>
    <row r="33" spans="1:6" x14ac:dyDescent="0.3">
      <c r="A33" s="2">
        <f t="shared" si="0"/>
        <v>2004</v>
      </c>
      <c r="B33" s="2" t="s">
        <v>11</v>
      </c>
      <c r="C33" s="27">
        <v>38200</v>
      </c>
      <c r="D33" s="2">
        <f t="shared" si="1"/>
        <v>8</v>
      </c>
      <c r="E33" s="28">
        <v>212.8</v>
      </c>
      <c r="F33" s="2" t="s">
        <v>19</v>
      </c>
    </row>
    <row r="34" spans="1:6" x14ac:dyDescent="0.3">
      <c r="A34" s="2">
        <f t="shared" si="0"/>
        <v>2004</v>
      </c>
      <c r="B34" s="2" t="s">
        <v>12</v>
      </c>
      <c r="C34" s="27">
        <v>38231</v>
      </c>
      <c r="D34" s="2">
        <f t="shared" si="1"/>
        <v>9</v>
      </c>
      <c r="E34" s="28">
        <v>211.8</v>
      </c>
      <c r="F34" s="2" t="s">
        <v>19</v>
      </c>
    </row>
    <row r="35" spans="1:6" x14ac:dyDescent="0.3">
      <c r="A35" s="2">
        <f t="shared" si="0"/>
        <v>2004</v>
      </c>
      <c r="B35" s="2" t="s">
        <v>13</v>
      </c>
      <c r="C35" s="27">
        <v>38261</v>
      </c>
      <c r="D35" s="2">
        <f t="shared" si="1"/>
        <v>10</v>
      </c>
      <c r="E35" s="28">
        <v>218</v>
      </c>
      <c r="F35" s="2" t="s">
        <v>19</v>
      </c>
    </row>
    <row r="36" spans="1:6" x14ac:dyDescent="0.3">
      <c r="A36" s="2">
        <f t="shared" si="0"/>
        <v>2004</v>
      </c>
      <c r="B36" s="2" t="s">
        <v>14</v>
      </c>
      <c r="C36" s="27">
        <v>38292</v>
      </c>
      <c r="D36" s="2">
        <f t="shared" si="1"/>
        <v>11</v>
      </c>
      <c r="E36" s="28">
        <v>236.7</v>
      </c>
      <c r="F36" s="2" t="s">
        <v>19</v>
      </c>
    </row>
    <row r="37" spans="1:6" x14ac:dyDescent="0.3">
      <c r="A37" s="2">
        <f t="shared" si="0"/>
        <v>2004</v>
      </c>
      <c r="B37" s="2" t="s">
        <v>15</v>
      </c>
      <c r="C37" s="27">
        <v>38322</v>
      </c>
      <c r="D37" s="2">
        <f t="shared" si="1"/>
        <v>12</v>
      </c>
      <c r="E37" s="28">
        <v>231.4</v>
      </c>
      <c r="F37" s="2" t="s">
        <v>19</v>
      </c>
    </row>
    <row r="38" spans="1:6" x14ac:dyDescent="0.3">
      <c r="A38" s="2">
        <f t="shared" si="0"/>
        <v>2005</v>
      </c>
      <c r="B38" s="2" t="s">
        <v>4</v>
      </c>
      <c r="C38" s="27">
        <v>38353</v>
      </c>
      <c r="D38" s="2">
        <f t="shared" si="1"/>
        <v>1</v>
      </c>
      <c r="E38" s="28">
        <v>209.5</v>
      </c>
      <c r="F38" s="2" t="s">
        <v>19</v>
      </c>
    </row>
    <row r="39" spans="1:6" x14ac:dyDescent="0.3">
      <c r="A39" s="2">
        <f t="shared" si="0"/>
        <v>2005</v>
      </c>
      <c r="B39" s="2" t="s">
        <v>5</v>
      </c>
      <c r="C39" s="27">
        <v>38384</v>
      </c>
      <c r="D39" s="2">
        <f t="shared" si="1"/>
        <v>2</v>
      </c>
      <c r="E39" s="28">
        <v>203.8</v>
      </c>
      <c r="F39" s="2" t="s">
        <v>19</v>
      </c>
    </row>
    <row r="40" spans="1:6" x14ac:dyDescent="0.3">
      <c r="A40" s="2">
        <f t="shared" si="0"/>
        <v>2005</v>
      </c>
      <c r="B40" s="2" t="s">
        <v>6</v>
      </c>
      <c r="C40" s="27">
        <v>38412</v>
      </c>
      <c r="D40" s="2">
        <f t="shared" si="1"/>
        <v>3</v>
      </c>
      <c r="E40" s="28">
        <v>246.5</v>
      </c>
      <c r="F40" s="2" t="s">
        <v>19</v>
      </c>
    </row>
    <row r="41" spans="1:6" x14ac:dyDescent="0.3">
      <c r="A41" s="2">
        <f t="shared" si="0"/>
        <v>2005</v>
      </c>
      <c r="B41" s="2" t="s">
        <v>7</v>
      </c>
      <c r="C41" s="27">
        <v>38443</v>
      </c>
      <c r="D41" s="2">
        <f t="shared" si="1"/>
        <v>4</v>
      </c>
      <c r="E41" s="28">
        <v>253.1</v>
      </c>
      <c r="F41" s="2" t="s">
        <v>19</v>
      </c>
    </row>
    <row r="42" spans="1:6" x14ac:dyDescent="0.3">
      <c r="A42" s="2">
        <f t="shared" si="0"/>
        <v>2005</v>
      </c>
      <c r="B42" s="2" t="s">
        <v>8</v>
      </c>
      <c r="C42" s="27">
        <v>38473</v>
      </c>
      <c r="D42" s="2">
        <f t="shared" si="1"/>
        <v>5</v>
      </c>
      <c r="E42" s="28">
        <v>274.3</v>
      </c>
      <c r="F42" s="2" t="s">
        <v>19</v>
      </c>
    </row>
    <row r="43" spans="1:6" x14ac:dyDescent="0.3">
      <c r="A43" s="2">
        <f t="shared" si="0"/>
        <v>2005</v>
      </c>
      <c r="B43" s="2" t="s">
        <v>9</v>
      </c>
      <c r="C43" s="27">
        <v>38504</v>
      </c>
      <c r="D43" s="2">
        <f t="shared" si="1"/>
        <v>6</v>
      </c>
      <c r="E43" s="28">
        <v>261.10000000000002</v>
      </c>
      <c r="F43" s="2" t="s">
        <v>19</v>
      </c>
    </row>
    <row r="44" spans="1:6" x14ac:dyDescent="0.3">
      <c r="A44" s="2">
        <f t="shared" si="0"/>
        <v>2005</v>
      </c>
      <c r="B44" s="2" t="s">
        <v>10</v>
      </c>
      <c r="C44" s="27">
        <v>38534</v>
      </c>
      <c r="D44" s="2">
        <f t="shared" si="1"/>
        <v>7</v>
      </c>
      <c r="E44" s="28">
        <v>245.8</v>
      </c>
      <c r="F44" s="2" t="s">
        <v>19</v>
      </c>
    </row>
    <row r="45" spans="1:6" x14ac:dyDescent="0.3">
      <c r="A45" s="2">
        <f t="shared" si="0"/>
        <v>2005</v>
      </c>
      <c r="B45" s="2" t="s">
        <v>11</v>
      </c>
      <c r="C45" s="27">
        <v>38565</v>
      </c>
      <c r="D45" s="2">
        <f t="shared" si="1"/>
        <v>8</v>
      </c>
      <c r="E45" s="28">
        <v>241.9</v>
      </c>
      <c r="F45" s="2" t="s">
        <v>19</v>
      </c>
    </row>
    <row r="46" spans="1:6" x14ac:dyDescent="0.3">
      <c r="A46" s="2">
        <f t="shared" si="0"/>
        <v>2005</v>
      </c>
      <c r="B46" s="2" t="s">
        <v>12</v>
      </c>
      <c r="C46" s="27">
        <v>38596</v>
      </c>
      <c r="D46" s="2">
        <f t="shared" si="1"/>
        <v>9</v>
      </c>
      <c r="E46" s="28">
        <v>241.6</v>
      </c>
      <c r="F46" s="2" t="s">
        <v>19</v>
      </c>
    </row>
    <row r="47" spans="1:6" x14ac:dyDescent="0.3">
      <c r="A47" s="2">
        <f t="shared" si="0"/>
        <v>2005</v>
      </c>
      <c r="B47" s="2" t="s">
        <v>13</v>
      </c>
      <c r="C47" s="27">
        <v>38626</v>
      </c>
      <c r="D47" s="2">
        <f t="shared" si="1"/>
        <v>10</v>
      </c>
      <c r="E47" s="28">
        <v>278.2</v>
      </c>
      <c r="F47" s="2" t="s">
        <v>19</v>
      </c>
    </row>
    <row r="48" spans="1:6" x14ac:dyDescent="0.3">
      <c r="A48" s="2">
        <f t="shared" si="0"/>
        <v>2005</v>
      </c>
      <c r="B48" s="2" t="s">
        <v>14</v>
      </c>
      <c r="C48" s="27">
        <v>38657</v>
      </c>
      <c r="D48" s="2">
        <f t="shared" si="1"/>
        <v>11</v>
      </c>
      <c r="E48" s="28">
        <v>265.60000000000002</v>
      </c>
      <c r="F48" s="2" t="s">
        <v>19</v>
      </c>
    </row>
    <row r="49" spans="1:6" x14ac:dyDescent="0.3">
      <c r="A49" s="2">
        <f t="shared" si="0"/>
        <v>2005</v>
      </c>
      <c r="B49" s="2" t="s">
        <v>15</v>
      </c>
      <c r="C49" s="27">
        <v>38687</v>
      </c>
      <c r="D49" s="2">
        <f t="shared" si="1"/>
        <v>12</v>
      </c>
      <c r="E49" s="28">
        <v>271.60000000000002</v>
      </c>
      <c r="F49" s="2" t="s">
        <v>19</v>
      </c>
    </row>
    <row r="50" spans="1:6" x14ac:dyDescent="0.3">
      <c r="A50" s="2">
        <f t="shared" si="0"/>
        <v>2006</v>
      </c>
      <c r="B50" s="2" t="s">
        <v>4</v>
      </c>
      <c r="C50" s="27">
        <v>38718</v>
      </c>
      <c r="D50" s="2">
        <f t="shared" si="1"/>
        <v>1</v>
      </c>
      <c r="E50" s="28">
        <v>248.9</v>
      </c>
      <c r="F50" s="2" t="s">
        <v>19</v>
      </c>
    </row>
    <row r="51" spans="1:6" x14ac:dyDescent="0.3">
      <c r="A51" s="2">
        <f t="shared" si="0"/>
        <v>2006</v>
      </c>
      <c r="B51" s="2" t="s">
        <v>5</v>
      </c>
      <c r="C51" s="27">
        <v>38749</v>
      </c>
      <c r="D51" s="2">
        <f t="shared" si="1"/>
        <v>2</v>
      </c>
      <c r="E51" s="28">
        <v>254.8</v>
      </c>
      <c r="F51" s="2" t="s">
        <v>19</v>
      </c>
    </row>
    <row r="52" spans="1:6" x14ac:dyDescent="0.3">
      <c r="A52" s="2">
        <f t="shared" si="0"/>
        <v>2006</v>
      </c>
      <c r="B52" s="2" t="s">
        <v>6</v>
      </c>
      <c r="C52" s="27">
        <v>38777</v>
      </c>
      <c r="D52" s="2">
        <f t="shared" si="1"/>
        <v>3</v>
      </c>
      <c r="E52" s="28">
        <v>289</v>
      </c>
      <c r="F52" s="2" t="s">
        <v>19</v>
      </c>
    </row>
    <row r="53" spans="1:6" x14ac:dyDescent="0.3">
      <c r="A53" s="2">
        <f t="shared" si="0"/>
        <v>2006</v>
      </c>
      <c r="B53" s="2" t="s">
        <v>7</v>
      </c>
      <c r="C53" s="27">
        <v>38808</v>
      </c>
      <c r="D53" s="2">
        <f t="shared" si="1"/>
        <v>4</v>
      </c>
      <c r="E53" s="28">
        <v>284.39999999999998</v>
      </c>
      <c r="F53" s="2" t="s">
        <v>19</v>
      </c>
    </row>
    <row r="54" spans="1:6" x14ac:dyDescent="0.3">
      <c r="A54" s="2">
        <f t="shared" si="0"/>
        <v>2006</v>
      </c>
      <c r="B54" s="2" t="s">
        <v>8</v>
      </c>
      <c r="C54" s="27">
        <v>38838</v>
      </c>
      <c r="D54" s="2">
        <f t="shared" si="1"/>
        <v>5</v>
      </c>
      <c r="E54" s="28">
        <v>361.4</v>
      </c>
      <c r="F54" s="2" t="s">
        <v>19</v>
      </c>
    </row>
    <row r="55" spans="1:6" x14ac:dyDescent="0.3">
      <c r="A55" s="2">
        <f t="shared" si="0"/>
        <v>2006</v>
      </c>
      <c r="B55" s="2" t="s">
        <v>9</v>
      </c>
      <c r="C55" s="27">
        <v>38869</v>
      </c>
      <c r="D55" s="2">
        <f t="shared" si="1"/>
        <v>6</v>
      </c>
      <c r="E55" s="28">
        <v>310.10000000000002</v>
      </c>
      <c r="F55" s="2" t="s">
        <v>19</v>
      </c>
    </row>
    <row r="56" spans="1:6" x14ac:dyDescent="0.3">
      <c r="A56" s="2">
        <f t="shared" si="0"/>
        <v>2006</v>
      </c>
      <c r="B56" s="2" t="s">
        <v>10</v>
      </c>
      <c r="C56" s="27">
        <v>38899</v>
      </c>
      <c r="D56" s="2">
        <f t="shared" si="1"/>
        <v>7</v>
      </c>
      <c r="E56" s="28">
        <v>302.89999999999998</v>
      </c>
      <c r="F56" s="2" t="s">
        <v>19</v>
      </c>
    </row>
    <row r="57" spans="1:6" x14ac:dyDescent="0.3">
      <c r="A57" s="2">
        <f t="shared" si="0"/>
        <v>2006</v>
      </c>
      <c r="B57" s="2" t="s">
        <v>11</v>
      </c>
      <c r="C57" s="27">
        <v>38930</v>
      </c>
      <c r="D57" s="2">
        <f t="shared" si="1"/>
        <v>8</v>
      </c>
      <c r="E57" s="28">
        <v>332.9</v>
      </c>
      <c r="F57" s="2" t="s">
        <v>19</v>
      </c>
    </row>
    <row r="58" spans="1:6" x14ac:dyDescent="0.3">
      <c r="A58" s="2">
        <f t="shared" si="0"/>
        <v>2006</v>
      </c>
      <c r="B58" s="2" t="s">
        <v>12</v>
      </c>
      <c r="C58" s="27">
        <v>38961</v>
      </c>
      <c r="D58" s="2">
        <f t="shared" si="1"/>
        <v>9</v>
      </c>
      <c r="E58" s="28">
        <v>293</v>
      </c>
      <c r="F58" s="2" t="s">
        <v>19</v>
      </c>
    </row>
    <row r="59" spans="1:6" x14ac:dyDescent="0.3">
      <c r="A59" s="2">
        <f t="shared" si="0"/>
        <v>2006</v>
      </c>
      <c r="B59" s="2" t="s">
        <v>13</v>
      </c>
      <c r="C59" s="27">
        <v>38991</v>
      </c>
      <c r="D59" s="2">
        <f t="shared" si="1"/>
        <v>10</v>
      </c>
      <c r="E59" s="28">
        <v>338.4</v>
      </c>
      <c r="F59" s="2" t="s">
        <v>19</v>
      </c>
    </row>
    <row r="60" spans="1:6" x14ac:dyDescent="0.3">
      <c r="A60" s="2">
        <f t="shared" si="0"/>
        <v>2006</v>
      </c>
      <c r="B60" s="2" t="s">
        <v>14</v>
      </c>
      <c r="C60" s="27">
        <v>39022</v>
      </c>
      <c r="D60" s="2">
        <f t="shared" si="1"/>
        <v>11</v>
      </c>
      <c r="E60" s="28">
        <v>294.7</v>
      </c>
      <c r="F60" s="2" t="s">
        <v>19</v>
      </c>
    </row>
    <row r="61" spans="1:6" x14ac:dyDescent="0.3">
      <c r="A61" s="2">
        <f t="shared" si="0"/>
        <v>2006</v>
      </c>
      <c r="B61" s="2" t="s">
        <v>15</v>
      </c>
      <c r="C61" s="27">
        <v>39052</v>
      </c>
      <c r="D61" s="2">
        <f t="shared" si="1"/>
        <v>12</v>
      </c>
      <c r="E61" s="28">
        <v>299.3</v>
      </c>
      <c r="F61" s="2" t="s">
        <v>19</v>
      </c>
    </row>
    <row r="62" spans="1:6" x14ac:dyDescent="0.3">
      <c r="A62" s="2">
        <f t="shared" si="0"/>
        <v>2007</v>
      </c>
      <c r="B62" s="2" t="s">
        <v>4</v>
      </c>
      <c r="C62" s="27">
        <v>39083</v>
      </c>
      <c r="D62" s="2">
        <f t="shared" si="1"/>
        <v>1</v>
      </c>
      <c r="E62" s="28">
        <v>287.10000000000002</v>
      </c>
      <c r="F62" s="2" t="s">
        <v>19</v>
      </c>
    </row>
    <row r="63" spans="1:6" x14ac:dyDescent="0.3">
      <c r="A63" s="2">
        <f t="shared" si="0"/>
        <v>2007</v>
      </c>
      <c r="B63" s="2" t="s">
        <v>5</v>
      </c>
      <c r="C63" s="27">
        <v>39114</v>
      </c>
      <c r="D63" s="2">
        <f t="shared" si="1"/>
        <v>2</v>
      </c>
      <c r="E63" s="28">
        <v>271.89999999999998</v>
      </c>
      <c r="F63" s="2" t="s">
        <v>19</v>
      </c>
    </row>
    <row r="64" spans="1:6" x14ac:dyDescent="0.3">
      <c r="A64" s="2">
        <f t="shared" si="0"/>
        <v>2007</v>
      </c>
      <c r="B64" s="2" t="s">
        <v>6</v>
      </c>
      <c r="C64" s="27">
        <v>39142</v>
      </c>
      <c r="D64" s="2">
        <f t="shared" si="1"/>
        <v>3</v>
      </c>
      <c r="E64" s="28">
        <v>327.60000000000002</v>
      </c>
      <c r="F64" s="2" t="s">
        <v>19</v>
      </c>
    </row>
    <row r="65" spans="1:6" x14ac:dyDescent="0.3">
      <c r="A65" s="2">
        <f t="shared" si="0"/>
        <v>2007</v>
      </c>
      <c r="B65" s="2" t="s">
        <v>7</v>
      </c>
      <c r="C65" s="27">
        <v>39173</v>
      </c>
      <c r="D65" s="2">
        <f t="shared" si="1"/>
        <v>4</v>
      </c>
      <c r="E65" s="28">
        <v>333.6</v>
      </c>
      <c r="F65" s="2" t="s">
        <v>19</v>
      </c>
    </row>
    <row r="66" spans="1:6" x14ac:dyDescent="0.3">
      <c r="A66" s="2">
        <f t="shared" si="0"/>
        <v>2007</v>
      </c>
      <c r="B66" s="2" t="s">
        <v>8</v>
      </c>
      <c r="C66" s="27">
        <v>39203</v>
      </c>
      <c r="D66" s="2">
        <f t="shared" si="1"/>
        <v>5</v>
      </c>
      <c r="E66" s="28">
        <v>392.9</v>
      </c>
      <c r="F66" s="2" t="s">
        <v>19</v>
      </c>
    </row>
    <row r="67" spans="1:6" x14ac:dyDescent="0.3">
      <c r="A67" s="2">
        <f t="shared" si="0"/>
        <v>2007</v>
      </c>
      <c r="B67" s="2" t="s">
        <v>9</v>
      </c>
      <c r="C67" s="27">
        <v>39234</v>
      </c>
      <c r="D67" s="2">
        <f t="shared" si="1"/>
        <v>6</v>
      </c>
      <c r="E67" s="28">
        <v>356.5</v>
      </c>
      <c r="F67" s="2" t="s">
        <v>19</v>
      </c>
    </row>
    <row r="68" spans="1:6" x14ac:dyDescent="0.3">
      <c r="A68" s="2">
        <f t="shared" si="0"/>
        <v>2007</v>
      </c>
      <c r="B68" s="2" t="s">
        <v>10</v>
      </c>
      <c r="C68" s="27">
        <v>39264</v>
      </c>
      <c r="D68" s="2">
        <f t="shared" si="1"/>
        <v>7</v>
      </c>
      <c r="E68" s="28">
        <v>381.2</v>
      </c>
      <c r="F68" s="2" t="s">
        <v>19</v>
      </c>
    </row>
    <row r="69" spans="1:6" x14ac:dyDescent="0.3">
      <c r="A69" s="2">
        <f t="shared" si="0"/>
        <v>2007</v>
      </c>
      <c r="B69" s="2" t="s">
        <v>11</v>
      </c>
      <c r="C69" s="27">
        <v>39295</v>
      </c>
      <c r="D69" s="2">
        <f t="shared" si="1"/>
        <v>8</v>
      </c>
      <c r="E69" s="28">
        <v>381.4</v>
      </c>
      <c r="F69" s="2" t="s">
        <v>19</v>
      </c>
    </row>
    <row r="70" spans="1:6" x14ac:dyDescent="0.3">
      <c r="A70" s="2">
        <f t="shared" si="0"/>
        <v>2007</v>
      </c>
      <c r="B70" s="2" t="s">
        <v>12</v>
      </c>
      <c r="C70" s="27">
        <v>39326</v>
      </c>
      <c r="D70" s="2">
        <f t="shared" si="1"/>
        <v>9</v>
      </c>
      <c r="E70" s="28">
        <v>326.8</v>
      </c>
      <c r="F70" s="2" t="s">
        <v>19</v>
      </c>
    </row>
    <row r="71" spans="1:6" x14ac:dyDescent="0.3">
      <c r="A71" s="2">
        <f t="shared" si="0"/>
        <v>2007</v>
      </c>
      <c r="B71" s="2" t="s">
        <v>13</v>
      </c>
      <c r="C71" s="27">
        <v>39356</v>
      </c>
      <c r="D71" s="2">
        <f t="shared" si="1"/>
        <v>10</v>
      </c>
      <c r="E71" s="28">
        <v>391.2</v>
      </c>
      <c r="F71" s="2" t="s">
        <v>19</v>
      </c>
    </row>
    <row r="72" spans="1:6" x14ac:dyDescent="0.3">
      <c r="A72" s="2">
        <f t="shared" si="0"/>
        <v>2007</v>
      </c>
      <c r="B72" s="2" t="s">
        <v>14</v>
      </c>
      <c r="C72" s="27">
        <v>39387</v>
      </c>
      <c r="D72" s="2">
        <f t="shared" si="1"/>
        <v>11</v>
      </c>
      <c r="E72" s="28">
        <v>340.8</v>
      </c>
      <c r="F72" s="2" t="s">
        <v>19</v>
      </c>
    </row>
    <row r="73" spans="1:6" x14ac:dyDescent="0.3">
      <c r="A73" s="2">
        <f t="shared" si="0"/>
        <v>2007</v>
      </c>
      <c r="B73" s="2" t="s">
        <v>15</v>
      </c>
      <c r="C73" s="27">
        <v>39417</v>
      </c>
      <c r="D73" s="2">
        <f t="shared" si="1"/>
        <v>12</v>
      </c>
      <c r="E73" s="28">
        <v>337.4</v>
      </c>
      <c r="F73" s="2" t="s">
        <v>19</v>
      </c>
    </row>
    <row r="74" spans="1:6" x14ac:dyDescent="0.3">
      <c r="A74" s="2">
        <f t="shared" si="0"/>
        <v>2008</v>
      </c>
      <c r="B74" s="2" t="s">
        <v>4</v>
      </c>
      <c r="C74" s="27">
        <v>39448</v>
      </c>
      <c r="D74" s="2">
        <f t="shared" si="1"/>
        <v>1</v>
      </c>
      <c r="E74" s="28">
        <v>314.60000000000002</v>
      </c>
      <c r="F74" s="2" t="s">
        <v>19</v>
      </c>
    </row>
    <row r="75" spans="1:6" x14ac:dyDescent="0.3">
      <c r="A75" s="2">
        <f t="shared" si="0"/>
        <v>2008</v>
      </c>
      <c r="B75" s="2" t="s">
        <v>5</v>
      </c>
      <c r="C75" s="27">
        <v>39479</v>
      </c>
      <c r="D75" s="2">
        <f t="shared" si="1"/>
        <v>2</v>
      </c>
      <c r="E75" s="28">
        <v>318.3</v>
      </c>
      <c r="F75" s="2" t="s">
        <v>19</v>
      </c>
    </row>
    <row r="76" spans="1:6" x14ac:dyDescent="0.3">
      <c r="A76" s="2">
        <f t="shared" si="0"/>
        <v>2008</v>
      </c>
      <c r="B76" s="2" t="s">
        <v>6</v>
      </c>
      <c r="C76" s="27">
        <v>39508</v>
      </c>
      <c r="D76" s="2">
        <f t="shared" si="1"/>
        <v>3</v>
      </c>
      <c r="E76" s="28">
        <v>340.5</v>
      </c>
      <c r="F76" s="2" t="s">
        <v>19</v>
      </c>
    </row>
    <row r="77" spans="1:6" x14ac:dyDescent="0.3">
      <c r="A77" s="2">
        <f t="shared" si="0"/>
        <v>2008</v>
      </c>
      <c r="B77" s="2" t="s">
        <v>7</v>
      </c>
      <c r="C77" s="27">
        <v>39539</v>
      </c>
      <c r="D77" s="2">
        <f t="shared" si="1"/>
        <v>4</v>
      </c>
      <c r="E77" s="28">
        <v>385.3</v>
      </c>
      <c r="F77" s="2" t="s">
        <v>19</v>
      </c>
    </row>
    <row r="78" spans="1:6" x14ac:dyDescent="0.3">
      <c r="A78" s="2">
        <f t="shared" si="0"/>
        <v>2008</v>
      </c>
      <c r="B78" s="2" t="s">
        <v>8</v>
      </c>
      <c r="C78" s="27">
        <v>39569</v>
      </c>
      <c r="D78" s="2">
        <f t="shared" si="1"/>
        <v>5</v>
      </c>
      <c r="E78" s="28">
        <v>398</v>
      </c>
      <c r="F78" s="2" t="s">
        <v>19</v>
      </c>
    </row>
    <row r="79" spans="1:6" x14ac:dyDescent="0.3">
      <c r="A79" s="2">
        <f t="shared" ref="A79:A142" si="2">+A67+1</f>
        <v>2008</v>
      </c>
      <c r="B79" s="2" t="s">
        <v>9</v>
      </c>
      <c r="C79" s="27">
        <v>39600</v>
      </c>
      <c r="D79" s="2">
        <f t="shared" ref="D79:D142" si="3">+D67</f>
        <v>6</v>
      </c>
      <c r="E79" s="28">
        <v>384.3</v>
      </c>
      <c r="F79" s="2" t="s">
        <v>19</v>
      </c>
    </row>
    <row r="80" spans="1:6" x14ac:dyDescent="0.3">
      <c r="A80" s="2">
        <f t="shared" si="2"/>
        <v>2008</v>
      </c>
      <c r="B80" s="2" t="s">
        <v>10</v>
      </c>
      <c r="C80" s="27">
        <v>39630</v>
      </c>
      <c r="D80" s="2">
        <f t="shared" si="3"/>
        <v>7</v>
      </c>
      <c r="E80" s="28">
        <v>409.7</v>
      </c>
      <c r="F80" s="2" t="s">
        <v>19</v>
      </c>
    </row>
    <row r="81" spans="1:6" x14ac:dyDescent="0.3">
      <c r="A81" s="2">
        <f t="shared" si="2"/>
        <v>2008</v>
      </c>
      <c r="B81" s="2" t="s">
        <v>11</v>
      </c>
      <c r="C81" s="27">
        <v>39661</v>
      </c>
      <c r="D81" s="2">
        <f t="shared" si="3"/>
        <v>8</v>
      </c>
      <c r="E81" s="28">
        <v>373.5</v>
      </c>
      <c r="F81" s="2" t="s">
        <v>19</v>
      </c>
    </row>
    <row r="82" spans="1:6" x14ac:dyDescent="0.3">
      <c r="A82" s="2">
        <f t="shared" si="2"/>
        <v>2008</v>
      </c>
      <c r="B82" s="2" t="s">
        <v>12</v>
      </c>
      <c r="C82" s="27">
        <v>39692</v>
      </c>
      <c r="D82" s="2">
        <f t="shared" si="3"/>
        <v>9</v>
      </c>
      <c r="E82" s="28">
        <v>371.8</v>
      </c>
      <c r="F82" s="2" t="s">
        <v>19</v>
      </c>
    </row>
    <row r="83" spans="1:6" x14ac:dyDescent="0.3">
      <c r="A83" s="2">
        <f t="shared" si="2"/>
        <v>2008</v>
      </c>
      <c r="B83" s="2" t="s">
        <v>13</v>
      </c>
      <c r="C83" s="27">
        <v>39722</v>
      </c>
      <c r="D83" s="2">
        <f t="shared" si="3"/>
        <v>10</v>
      </c>
      <c r="E83" s="28">
        <v>367.7</v>
      </c>
      <c r="F83" s="2" t="s">
        <v>19</v>
      </c>
    </row>
    <row r="84" spans="1:6" x14ac:dyDescent="0.3">
      <c r="A84" s="2">
        <f t="shared" si="2"/>
        <v>2008</v>
      </c>
      <c r="B84" s="2" t="s">
        <v>14</v>
      </c>
      <c r="C84" s="27">
        <v>39753</v>
      </c>
      <c r="D84" s="2">
        <f t="shared" si="3"/>
        <v>11</v>
      </c>
      <c r="E84" s="28">
        <v>311.7</v>
      </c>
      <c r="F84" s="2" t="s">
        <v>19</v>
      </c>
    </row>
    <row r="85" spans="1:6" x14ac:dyDescent="0.3">
      <c r="A85" s="2">
        <f t="shared" si="2"/>
        <v>2008</v>
      </c>
      <c r="B85" s="2" t="s">
        <v>15</v>
      </c>
      <c r="C85" s="27">
        <v>39783</v>
      </c>
      <c r="D85" s="2">
        <f t="shared" si="3"/>
        <v>12</v>
      </c>
      <c r="E85" s="28">
        <v>339.3</v>
      </c>
      <c r="F85" s="2" t="s">
        <v>19</v>
      </c>
    </row>
    <row r="86" spans="1:6" x14ac:dyDescent="0.3">
      <c r="A86" s="2">
        <f t="shared" si="2"/>
        <v>2009</v>
      </c>
      <c r="B86" s="2" t="s">
        <v>4</v>
      </c>
      <c r="C86" s="27">
        <v>39814</v>
      </c>
      <c r="D86" s="2">
        <f t="shared" si="3"/>
        <v>1</v>
      </c>
      <c r="E86" s="28">
        <v>290.2</v>
      </c>
      <c r="F86" s="2" t="s">
        <v>19</v>
      </c>
    </row>
    <row r="87" spans="1:6" x14ac:dyDescent="0.3">
      <c r="A87" s="2">
        <f t="shared" si="2"/>
        <v>2009</v>
      </c>
      <c r="B87" s="2" t="s">
        <v>5</v>
      </c>
      <c r="C87" s="27">
        <v>39845</v>
      </c>
      <c r="D87" s="2">
        <f t="shared" si="3"/>
        <v>2</v>
      </c>
      <c r="E87" s="28">
        <v>282</v>
      </c>
      <c r="F87" s="2" t="s">
        <v>19</v>
      </c>
    </row>
    <row r="88" spans="1:6" x14ac:dyDescent="0.3">
      <c r="A88" s="2">
        <f t="shared" si="2"/>
        <v>2009</v>
      </c>
      <c r="B88" s="2" t="s">
        <v>6</v>
      </c>
      <c r="C88" s="27">
        <v>39873</v>
      </c>
      <c r="D88" s="2">
        <f t="shared" si="3"/>
        <v>3</v>
      </c>
      <c r="E88" s="28">
        <v>344.1</v>
      </c>
      <c r="F88" s="2" t="s">
        <v>19</v>
      </c>
    </row>
    <row r="89" spans="1:6" x14ac:dyDescent="0.3">
      <c r="A89" s="2">
        <f t="shared" si="2"/>
        <v>2009</v>
      </c>
      <c r="B89" s="2" t="s">
        <v>7</v>
      </c>
      <c r="C89" s="27">
        <v>39904</v>
      </c>
      <c r="D89" s="2">
        <f t="shared" si="3"/>
        <v>4</v>
      </c>
      <c r="E89" s="28">
        <v>339.7</v>
      </c>
      <c r="F89" s="2" t="s">
        <v>19</v>
      </c>
    </row>
    <row r="90" spans="1:6" x14ac:dyDescent="0.3">
      <c r="A90" s="2">
        <f t="shared" si="2"/>
        <v>2009</v>
      </c>
      <c r="B90" s="2" t="s">
        <v>8</v>
      </c>
      <c r="C90" s="27">
        <v>39934</v>
      </c>
      <c r="D90" s="2">
        <f t="shared" si="3"/>
        <v>5</v>
      </c>
      <c r="E90" s="28">
        <v>332.6</v>
      </c>
      <c r="F90" s="2" t="s">
        <v>19</v>
      </c>
    </row>
    <row r="91" spans="1:6" x14ac:dyDescent="0.3">
      <c r="A91" s="2">
        <f t="shared" si="2"/>
        <v>2009</v>
      </c>
      <c r="B91" s="2" t="s">
        <v>9</v>
      </c>
      <c r="C91" s="27">
        <v>39965</v>
      </c>
      <c r="D91" s="2">
        <f t="shared" si="3"/>
        <v>6</v>
      </c>
      <c r="E91" s="28">
        <v>348.6</v>
      </c>
      <c r="F91" s="2" t="s">
        <v>19</v>
      </c>
    </row>
    <row r="92" spans="1:6" x14ac:dyDescent="0.3">
      <c r="A92" s="2">
        <f t="shared" si="2"/>
        <v>2009</v>
      </c>
      <c r="B92" s="2" t="s">
        <v>10</v>
      </c>
      <c r="C92" s="27">
        <v>39995</v>
      </c>
      <c r="D92" s="2">
        <f t="shared" si="3"/>
        <v>7</v>
      </c>
      <c r="E92" s="28">
        <v>365.6</v>
      </c>
      <c r="F92" s="2" t="s">
        <v>19</v>
      </c>
    </row>
    <row r="93" spans="1:6" x14ac:dyDescent="0.3">
      <c r="A93" s="2">
        <f t="shared" si="2"/>
        <v>2009</v>
      </c>
      <c r="B93" s="2" t="s">
        <v>11</v>
      </c>
      <c r="C93" s="27">
        <v>40026</v>
      </c>
      <c r="D93" s="2">
        <f t="shared" si="3"/>
        <v>8</v>
      </c>
      <c r="E93" s="28">
        <v>337.4</v>
      </c>
      <c r="F93" s="2" t="s">
        <v>19</v>
      </c>
    </row>
    <row r="94" spans="1:6" x14ac:dyDescent="0.3">
      <c r="A94" s="2">
        <f t="shared" si="2"/>
        <v>2009</v>
      </c>
      <c r="B94" s="2" t="s">
        <v>12</v>
      </c>
      <c r="C94" s="27">
        <v>40057</v>
      </c>
      <c r="D94" s="2">
        <f t="shared" si="3"/>
        <v>9</v>
      </c>
      <c r="E94" s="28">
        <v>332.1</v>
      </c>
      <c r="F94" s="2" t="s">
        <v>19</v>
      </c>
    </row>
    <row r="95" spans="1:6" x14ac:dyDescent="0.3">
      <c r="A95" s="2">
        <f t="shared" si="2"/>
        <v>2009</v>
      </c>
      <c r="B95" s="2" t="s">
        <v>13</v>
      </c>
      <c r="C95" s="27">
        <v>40087</v>
      </c>
      <c r="D95" s="2">
        <f t="shared" si="3"/>
        <v>10</v>
      </c>
      <c r="E95" s="28">
        <v>327.5</v>
      </c>
      <c r="F95" s="2" t="s">
        <v>19</v>
      </c>
    </row>
    <row r="96" spans="1:6" x14ac:dyDescent="0.3">
      <c r="A96" s="2">
        <f t="shared" si="2"/>
        <v>2009</v>
      </c>
      <c r="B96" s="2" t="s">
        <v>14</v>
      </c>
      <c r="C96" s="27">
        <v>40118</v>
      </c>
      <c r="D96" s="2">
        <f t="shared" si="3"/>
        <v>11</v>
      </c>
      <c r="E96" s="28">
        <v>287.89999999999998</v>
      </c>
      <c r="F96" s="2" t="s">
        <v>19</v>
      </c>
    </row>
    <row r="97" spans="1:6" x14ac:dyDescent="0.3">
      <c r="A97" s="2">
        <f t="shared" si="2"/>
        <v>2009</v>
      </c>
      <c r="B97" s="2" t="s">
        <v>15</v>
      </c>
      <c r="C97" s="27">
        <v>40148</v>
      </c>
      <c r="D97" s="2">
        <f t="shared" si="3"/>
        <v>12</v>
      </c>
      <c r="E97" s="28">
        <v>324.5</v>
      </c>
      <c r="F97" s="2" t="s">
        <v>19</v>
      </c>
    </row>
    <row r="98" spans="1:6" x14ac:dyDescent="0.3">
      <c r="A98" s="2">
        <f t="shared" si="2"/>
        <v>2010</v>
      </c>
      <c r="B98" s="2" t="s">
        <v>4</v>
      </c>
      <c r="C98" s="27">
        <v>40179</v>
      </c>
      <c r="D98" s="2">
        <f t="shared" si="3"/>
        <v>1</v>
      </c>
      <c r="E98" s="28">
        <v>246.1</v>
      </c>
      <c r="F98" s="2" t="s">
        <v>19</v>
      </c>
    </row>
    <row r="99" spans="1:6" x14ac:dyDescent="0.3">
      <c r="A99" s="2">
        <f t="shared" si="2"/>
        <v>2010</v>
      </c>
      <c r="B99" s="2" t="s">
        <v>5</v>
      </c>
      <c r="C99" s="27">
        <v>40210</v>
      </c>
      <c r="D99" s="2">
        <f t="shared" si="3"/>
        <v>2</v>
      </c>
      <c r="E99" s="28">
        <v>274.5</v>
      </c>
      <c r="F99" s="2" t="s">
        <v>19</v>
      </c>
    </row>
    <row r="100" spans="1:6" x14ac:dyDescent="0.3">
      <c r="A100" s="2">
        <f t="shared" si="2"/>
        <v>2010</v>
      </c>
      <c r="B100" s="2" t="s">
        <v>6</v>
      </c>
      <c r="C100" s="27">
        <v>40238</v>
      </c>
      <c r="D100" s="2">
        <f t="shared" si="3"/>
        <v>3</v>
      </c>
      <c r="E100" s="28">
        <v>370</v>
      </c>
      <c r="F100" s="2" t="s">
        <v>19</v>
      </c>
    </row>
    <row r="101" spans="1:6" x14ac:dyDescent="0.3">
      <c r="A101" s="2">
        <f t="shared" si="2"/>
        <v>2010</v>
      </c>
      <c r="B101" s="2" t="s">
        <v>7</v>
      </c>
      <c r="C101" s="27">
        <v>40269</v>
      </c>
      <c r="D101" s="2">
        <f t="shared" si="3"/>
        <v>4</v>
      </c>
      <c r="E101" s="28">
        <v>344.4</v>
      </c>
      <c r="F101" s="2" t="s">
        <v>19</v>
      </c>
    </row>
    <row r="102" spans="1:6" x14ac:dyDescent="0.3">
      <c r="A102" s="2">
        <f t="shared" si="2"/>
        <v>2010</v>
      </c>
      <c r="B102" s="2" t="s">
        <v>8</v>
      </c>
      <c r="C102" s="27">
        <v>40299</v>
      </c>
      <c r="D102" s="2">
        <f t="shared" si="3"/>
        <v>5</v>
      </c>
      <c r="E102" s="28">
        <v>357</v>
      </c>
      <c r="F102" s="2" t="s">
        <v>19</v>
      </c>
    </row>
    <row r="103" spans="1:6" x14ac:dyDescent="0.3">
      <c r="A103" s="2">
        <f t="shared" si="2"/>
        <v>2010</v>
      </c>
      <c r="B103" s="2" t="s">
        <v>9</v>
      </c>
      <c r="C103" s="27">
        <v>40330</v>
      </c>
      <c r="D103" s="2">
        <f t="shared" si="3"/>
        <v>6</v>
      </c>
      <c r="E103" s="28">
        <v>394.3</v>
      </c>
      <c r="F103" s="2" t="s">
        <v>19</v>
      </c>
    </row>
    <row r="104" spans="1:6" x14ac:dyDescent="0.3">
      <c r="A104" s="2">
        <f t="shared" si="2"/>
        <v>2010</v>
      </c>
      <c r="B104" s="2" t="s">
        <v>10</v>
      </c>
      <c r="C104" s="27">
        <v>40360</v>
      </c>
      <c r="D104" s="2">
        <f t="shared" si="3"/>
        <v>7</v>
      </c>
      <c r="E104" s="28">
        <v>384.6</v>
      </c>
      <c r="F104" s="2" t="s">
        <v>19</v>
      </c>
    </row>
    <row r="105" spans="1:6" x14ac:dyDescent="0.3">
      <c r="A105" s="2">
        <f t="shared" si="2"/>
        <v>2010</v>
      </c>
      <c r="B105" s="2" t="s">
        <v>11</v>
      </c>
      <c r="C105" s="27">
        <v>40391</v>
      </c>
      <c r="D105" s="2">
        <f t="shared" si="3"/>
        <v>8</v>
      </c>
      <c r="E105" s="28">
        <v>377.4</v>
      </c>
      <c r="F105" s="2" t="s">
        <v>19</v>
      </c>
    </row>
    <row r="106" spans="1:6" x14ac:dyDescent="0.3">
      <c r="A106" s="2">
        <f t="shared" si="2"/>
        <v>2010</v>
      </c>
      <c r="B106" s="2" t="s">
        <v>12</v>
      </c>
      <c r="C106" s="27">
        <v>40422</v>
      </c>
      <c r="D106" s="2">
        <f t="shared" si="3"/>
        <v>9</v>
      </c>
      <c r="E106" s="28">
        <v>359.3</v>
      </c>
      <c r="F106" s="2" t="s">
        <v>19</v>
      </c>
    </row>
    <row r="107" spans="1:6" x14ac:dyDescent="0.3">
      <c r="A107" s="2">
        <f t="shared" si="2"/>
        <v>2010</v>
      </c>
      <c r="B107" s="2" t="s">
        <v>13</v>
      </c>
      <c r="C107" s="27">
        <v>40452</v>
      </c>
      <c r="D107" s="2">
        <f t="shared" si="3"/>
        <v>10</v>
      </c>
      <c r="E107" s="28">
        <v>339.4</v>
      </c>
      <c r="F107" s="2" t="s">
        <v>19</v>
      </c>
    </row>
    <row r="108" spans="1:6" x14ac:dyDescent="0.3">
      <c r="A108" s="2">
        <f t="shared" si="2"/>
        <v>2010</v>
      </c>
      <c r="B108" s="2" t="s">
        <v>14</v>
      </c>
      <c r="C108" s="27">
        <v>40483</v>
      </c>
      <c r="D108" s="2">
        <f t="shared" si="3"/>
        <v>11</v>
      </c>
      <c r="E108" s="28">
        <v>331.4</v>
      </c>
      <c r="F108" s="2" t="s">
        <v>19</v>
      </c>
    </row>
    <row r="109" spans="1:6" x14ac:dyDescent="0.3">
      <c r="A109" s="2">
        <f t="shared" si="2"/>
        <v>2010</v>
      </c>
      <c r="B109" s="2" t="s">
        <v>15</v>
      </c>
      <c r="C109" s="27">
        <v>40513</v>
      </c>
      <c r="D109" s="2">
        <f t="shared" si="3"/>
        <v>12</v>
      </c>
      <c r="E109" s="28">
        <v>348.4</v>
      </c>
      <c r="F109" s="2" t="s">
        <v>19</v>
      </c>
    </row>
    <row r="110" spans="1:6" x14ac:dyDescent="0.3">
      <c r="A110" s="2">
        <f t="shared" si="2"/>
        <v>2011</v>
      </c>
      <c r="B110" s="2" t="s">
        <v>4</v>
      </c>
      <c r="C110" s="27">
        <v>40544</v>
      </c>
      <c r="D110" s="2">
        <f t="shared" si="3"/>
        <v>1</v>
      </c>
      <c r="E110" s="28">
        <v>283.3</v>
      </c>
      <c r="F110" s="2" t="s">
        <v>19</v>
      </c>
    </row>
    <row r="111" spans="1:6" x14ac:dyDescent="0.3">
      <c r="A111" s="2">
        <f t="shared" si="2"/>
        <v>2011</v>
      </c>
      <c r="B111" s="2" t="s">
        <v>5</v>
      </c>
      <c r="C111" s="27">
        <v>40575</v>
      </c>
      <c r="D111" s="2">
        <f t="shared" si="3"/>
        <v>2</v>
      </c>
      <c r="E111" s="28">
        <v>304.60000000000002</v>
      </c>
      <c r="F111" s="2" t="s">
        <v>19</v>
      </c>
    </row>
    <row r="112" spans="1:6" x14ac:dyDescent="0.3">
      <c r="A112" s="2">
        <f t="shared" si="2"/>
        <v>2011</v>
      </c>
      <c r="B112" s="2" t="s">
        <v>6</v>
      </c>
      <c r="C112" s="27">
        <v>40603</v>
      </c>
      <c r="D112" s="2">
        <f t="shared" si="3"/>
        <v>3</v>
      </c>
      <c r="E112" s="28">
        <v>384.1</v>
      </c>
      <c r="F112" s="2" t="s">
        <v>19</v>
      </c>
    </row>
    <row r="113" spans="1:6" x14ac:dyDescent="0.3">
      <c r="A113" s="2">
        <f t="shared" si="2"/>
        <v>2011</v>
      </c>
      <c r="B113" s="2" t="s">
        <v>7</v>
      </c>
      <c r="C113" s="27">
        <v>40634</v>
      </c>
      <c r="D113" s="2">
        <f t="shared" si="3"/>
        <v>4</v>
      </c>
      <c r="E113" s="28">
        <v>371.3</v>
      </c>
      <c r="F113" s="2" t="s">
        <v>19</v>
      </c>
    </row>
    <row r="114" spans="1:6" x14ac:dyDescent="0.3">
      <c r="A114" s="2">
        <f t="shared" si="2"/>
        <v>2011</v>
      </c>
      <c r="B114" s="2" t="s">
        <v>8</v>
      </c>
      <c r="C114" s="27">
        <v>40664</v>
      </c>
      <c r="D114" s="2">
        <f t="shared" si="3"/>
        <v>5</v>
      </c>
      <c r="E114" s="28">
        <v>415.3</v>
      </c>
      <c r="F114" s="2" t="s">
        <v>19</v>
      </c>
    </row>
    <row r="115" spans="1:6" x14ac:dyDescent="0.3">
      <c r="A115" s="2">
        <f t="shared" si="2"/>
        <v>2011</v>
      </c>
      <c r="B115" s="2" t="s">
        <v>9</v>
      </c>
      <c r="C115" s="27">
        <v>40695</v>
      </c>
      <c r="D115" s="2">
        <f t="shared" si="3"/>
        <v>6</v>
      </c>
      <c r="E115" s="28">
        <v>416.4</v>
      </c>
      <c r="F115" s="2" t="s">
        <v>19</v>
      </c>
    </row>
    <row r="116" spans="1:6" x14ac:dyDescent="0.3">
      <c r="A116" s="2">
        <f t="shared" si="2"/>
        <v>2011</v>
      </c>
      <c r="B116" s="2" t="s">
        <v>10</v>
      </c>
      <c r="C116" s="27">
        <v>40725</v>
      </c>
      <c r="D116" s="2">
        <f t="shared" si="3"/>
        <v>7</v>
      </c>
      <c r="E116" s="28">
        <v>349.8</v>
      </c>
      <c r="F116" s="2" t="s">
        <v>19</v>
      </c>
    </row>
    <row r="117" spans="1:6" x14ac:dyDescent="0.3">
      <c r="A117" s="2">
        <f t="shared" si="2"/>
        <v>2011</v>
      </c>
      <c r="B117" s="2" t="s">
        <v>11</v>
      </c>
      <c r="C117" s="27">
        <v>40756</v>
      </c>
      <c r="D117" s="2">
        <f t="shared" si="3"/>
        <v>8</v>
      </c>
      <c r="E117" s="28">
        <v>409.6</v>
      </c>
      <c r="F117" s="2" t="s">
        <v>19</v>
      </c>
    </row>
    <row r="118" spans="1:6" x14ac:dyDescent="0.3">
      <c r="A118" s="2">
        <f t="shared" si="2"/>
        <v>2011</v>
      </c>
      <c r="B118" s="2" t="s">
        <v>12</v>
      </c>
      <c r="C118" s="27">
        <v>40787</v>
      </c>
      <c r="D118" s="2">
        <f t="shared" si="3"/>
        <v>9</v>
      </c>
      <c r="E118" s="28">
        <v>364.8</v>
      </c>
      <c r="F118" s="2" t="s">
        <v>19</v>
      </c>
    </row>
    <row r="119" spans="1:6" x14ac:dyDescent="0.3">
      <c r="A119" s="2">
        <f t="shared" si="2"/>
        <v>2011</v>
      </c>
      <c r="B119" s="2" t="s">
        <v>13</v>
      </c>
      <c r="C119" s="27">
        <v>40817</v>
      </c>
      <c r="D119" s="2">
        <f t="shared" si="3"/>
        <v>10</v>
      </c>
      <c r="E119" s="28">
        <v>356.8</v>
      </c>
      <c r="F119" s="2" t="s">
        <v>19</v>
      </c>
    </row>
    <row r="120" spans="1:6" x14ac:dyDescent="0.3">
      <c r="A120" s="2">
        <f t="shared" si="2"/>
        <v>2011</v>
      </c>
      <c r="B120" s="2" t="s">
        <v>14</v>
      </c>
      <c r="C120" s="27">
        <v>40848</v>
      </c>
      <c r="D120" s="2">
        <f t="shared" si="3"/>
        <v>11</v>
      </c>
      <c r="E120" s="28">
        <v>343.5</v>
      </c>
      <c r="F120" s="2" t="s">
        <v>19</v>
      </c>
    </row>
    <row r="121" spans="1:6" x14ac:dyDescent="0.3">
      <c r="A121" s="2">
        <f t="shared" si="2"/>
        <v>2011</v>
      </c>
      <c r="B121" s="2" t="s">
        <v>15</v>
      </c>
      <c r="C121" s="27">
        <v>40878</v>
      </c>
      <c r="D121" s="2">
        <f t="shared" si="3"/>
        <v>12</v>
      </c>
      <c r="E121" s="28">
        <v>378.5</v>
      </c>
      <c r="F121" s="2" t="s">
        <v>19</v>
      </c>
    </row>
    <row r="122" spans="1:6" x14ac:dyDescent="0.3">
      <c r="A122" s="2">
        <f t="shared" si="2"/>
        <v>2012</v>
      </c>
      <c r="B122" s="2" t="s">
        <v>4</v>
      </c>
      <c r="C122" s="27">
        <v>40909</v>
      </c>
      <c r="D122" s="2">
        <f t="shared" si="3"/>
        <v>1</v>
      </c>
      <c r="E122" s="28">
        <v>305.10000000000002</v>
      </c>
      <c r="F122" s="2" t="s">
        <v>19</v>
      </c>
    </row>
    <row r="123" spans="1:6" x14ac:dyDescent="0.3">
      <c r="A123" s="2">
        <f t="shared" si="2"/>
        <v>2012</v>
      </c>
      <c r="B123" s="2" t="s">
        <v>5</v>
      </c>
      <c r="C123" s="27">
        <v>40940</v>
      </c>
      <c r="D123" s="2">
        <f t="shared" si="3"/>
        <v>2</v>
      </c>
      <c r="E123" s="28">
        <v>350.4</v>
      </c>
      <c r="F123" s="2" t="s">
        <v>19</v>
      </c>
    </row>
    <row r="124" spans="1:6" x14ac:dyDescent="0.3">
      <c r="A124" s="2">
        <f t="shared" si="2"/>
        <v>2012</v>
      </c>
      <c r="B124" s="2" t="s">
        <v>6</v>
      </c>
      <c r="C124" s="27">
        <v>40969</v>
      </c>
      <c r="D124" s="2">
        <f t="shared" si="3"/>
        <v>3</v>
      </c>
      <c r="E124" s="28">
        <v>402.1</v>
      </c>
      <c r="F124" s="2" t="s">
        <v>19</v>
      </c>
    </row>
    <row r="125" spans="1:6" x14ac:dyDescent="0.3">
      <c r="A125" s="2">
        <f t="shared" si="2"/>
        <v>2012</v>
      </c>
      <c r="B125" s="2" t="s">
        <v>7</v>
      </c>
      <c r="C125" s="27">
        <v>41000</v>
      </c>
      <c r="D125" s="2">
        <f t="shared" si="3"/>
        <v>4</v>
      </c>
      <c r="E125" s="28">
        <v>419</v>
      </c>
      <c r="F125" s="2" t="s">
        <v>19</v>
      </c>
    </row>
    <row r="126" spans="1:6" x14ac:dyDescent="0.3">
      <c r="A126" s="2">
        <f t="shared" si="2"/>
        <v>2012</v>
      </c>
      <c r="B126" s="2" t="s">
        <v>8</v>
      </c>
      <c r="C126" s="27">
        <v>41030</v>
      </c>
      <c r="D126" s="2">
        <f t="shared" si="3"/>
        <v>5</v>
      </c>
      <c r="E126" s="28">
        <v>451.6</v>
      </c>
      <c r="F126" s="2" t="s">
        <v>19</v>
      </c>
    </row>
    <row r="127" spans="1:6" x14ac:dyDescent="0.3">
      <c r="A127" s="2">
        <f t="shared" si="2"/>
        <v>2012</v>
      </c>
      <c r="B127" s="2" t="s">
        <v>9</v>
      </c>
      <c r="C127" s="27">
        <v>41061</v>
      </c>
      <c r="D127" s="2">
        <f t="shared" si="3"/>
        <v>6</v>
      </c>
      <c r="E127" s="28">
        <v>432.7</v>
      </c>
      <c r="F127" s="2" t="s">
        <v>19</v>
      </c>
    </row>
    <row r="128" spans="1:6" x14ac:dyDescent="0.3">
      <c r="A128" s="2">
        <f t="shared" si="2"/>
        <v>2012</v>
      </c>
      <c r="B128" s="2" t="s">
        <v>10</v>
      </c>
      <c r="C128" s="27">
        <v>41091</v>
      </c>
      <c r="D128" s="2">
        <f t="shared" si="3"/>
        <v>7</v>
      </c>
      <c r="E128" s="28">
        <v>422.1</v>
      </c>
      <c r="F128" s="2" t="s">
        <v>19</v>
      </c>
    </row>
    <row r="129" spans="1:6" x14ac:dyDescent="0.3">
      <c r="A129" s="2">
        <f t="shared" si="2"/>
        <v>2012</v>
      </c>
      <c r="B129" s="2" t="s">
        <v>11</v>
      </c>
      <c r="C129" s="27">
        <v>41122</v>
      </c>
      <c r="D129" s="2">
        <f t="shared" si="3"/>
        <v>8</v>
      </c>
      <c r="E129" s="28">
        <v>441.4</v>
      </c>
      <c r="F129" s="2" t="s">
        <v>19</v>
      </c>
    </row>
    <row r="130" spans="1:6" x14ac:dyDescent="0.3">
      <c r="A130" s="2">
        <f t="shared" si="2"/>
        <v>2012</v>
      </c>
      <c r="B130" s="2" t="s">
        <v>12</v>
      </c>
      <c r="C130" s="27">
        <v>41153</v>
      </c>
      <c r="D130" s="2">
        <f t="shared" si="3"/>
        <v>9</v>
      </c>
      <c r="E130" s="28">
        <v>365.8</v>
      </c>
      <c r="F130" s="2" t="s">
        <v>19</v>
      </c>
    </row>
    <row r="131" spans="1:6" x14ac:dyDescent="0.3">
      <c r="A131" s="2">
        <f t="shared" si="2"/>
        <v>2012</v>
      </c>
      <c r="B131" s="2" t="s">
        <v>13</v>
      </c>
      <c r="C131" s="27">
        <v>41183</v>
      </c>
      <c r="D131" s="2">
        <f t="shared" si="3"/>
        <v>10</v>
      </c>
      <c r="E131" s="28">
        <v>415.4</v>
      </c>
      <c r="F131" s="2" t="s">
        <v>19</v>
      </c>
    </row>
    <row r="132" spans="1:6" x14ac:dyDescent="0.3">
      <c r="A132" s="2">
        <f t="shared" si="2"/>
        <v>2012</v>
      </c>
      <c r="B132" s="2" t="s">
        <v>14</v>
      </c>
      <c r="C132" s="27">
        <v>41214</v>
      </c>
      <c r="D132" s="2">
        <f t="shared" si="3"/>
        <v>11</v>
      </c>
      <c r="E132" s="28">
        <v>368</v>
      </c>
      <c r="F132" s="2" t="s">
        <v>19</v>
      </c>
    </row>
    <row r="133" spans="1:6" x14ac:dyDescent="0.3">
      <c r="A133" s="2">
        <f t="shared" si="2"/>
        <v>2012</v>
      </c>
      <c r="B133" s="2" t="s">
        <v>15</v>
      </c>
      <c r="C133" s="27">
        <v>41244</v>
      </c>
      <c r="D133" s="2">
        <f t="shared" si="3"/>
        <v>12</v>
      </c>
      <c r="E133" s="28">
        <v>409.2</v>
      </c>
      <c r="F133" s="2" t="s">
        <v>19</v>
      </c>
    </row>
    <row r="134" spans="1:6" x14ac:dyDescent="0.3">
      <c r="A134" s="2">
        <f t="shared" si="2"/>
        <v>2013</v>
      </c>
      <c r="B134" s="2" t="s">
        <v>4</v>
      </c>
      <c r="C134" s="27">
        <v>41275</v>
      </c>
      <c r="D134" s="2">
        <f t="shared" si="3"/>
        <v>1</v>
      </c>
      <c r="E134" s="28">
        <v>357.9</v>
      </c>
      <c r="F134" s="2" t="s">
        <v>19</v>
      </c>
    </row>
    <row r="135" spans="1:6" x14ac:dyDescent="0.3">
      <c r="A135" s="2">
        <f t="shared" si="2"/>
        <v>2013</v>
      </c>
      <c r="B135" s="2" t="s">
        <v>5</v>
      </c>
      <c r="C135" s="27">
        <v>41306</v>
      </c>
      <c r="D135" s="2">
        <f t="shared" si="3"/>
        <v>2</v>
      </c>
      <c r="E135" s="28">
        <v>351.2</v>
      </c>
      <c r="F135" s="2" t="s">
        <v>19</v>
      </c>
    </row>
    <row r="136" spans="1:6" x14ac:dyDescent="0.3">
      <c r="A136" s="2">
        <f t="shared" si="2"/>
        <v>2013</v>
      </c>
      <c r="B136" s="2" t="s">
        <v>6</v>
      </c>
      <c r="C136" s="27">
        <v>41334</v>
      </c>
      <c r="D136" s="2">
        <f t="shared" si="3"/>
        <v>3</v>
      </c>
      <c r="E136" s="28">
        <v>424.1</v>
      </c>
      <c r="F136" s="2" t="s">
        <v>19</v>
      </c>
    </row>
    <row r="137" spans="1:6" x14ac:dyDescent="0.3">
      <c r="A137" s="2">
        <f t="shared" si="2"/>
        <v>2013</v>
      </c>
      <c r="B137" s="2" t="s">
        <v>7</v>
      </c>
      <c r="C137" s="27">
        <v>41365</v>
      </c>
      <c r="D137" s="2">
        <f t="shared" si="3"/>
        <v>4</v>
      </c>
      <c r="E137" s="28">
        <v>451.2</v>
      </c>
      <c r="F137" s="2" t="s">
        <v>19</v>
      </c>
    </row>
    <row r="138" spans="1:6" x14ac:dyDescent="0.3">
      <c r="A138" s="2">
        <f t="shared" si="2"/>
        <v>2013</v>
      </c>
      <c r="B138" s="2" t="s">
        <v>8</v>
      </c>
      <c r="C138" s="27">
        <v>41395</v>
      </c>
      <c r="D138" s="2">
        <f t="shared" si="3"/>
        <v>5</v>
      </c>
      <c r="E138" s="28">
        <v>477</v>
      </c>
      <c r="F138" s="2" t="s">
        <v>19</v>
      </c>
    </row>
    <row r="139" spans="1:6" x14ac:dyDescent="0.3">
      <c r="A139" s="2">
        <f t="shared" si="2"/>
        <v>2013</v>
      </c>
      <c r="B139" s="2" t="s">
        <v>9</v>
      </c>
      <c r="C139" s="27">
        <v>41426</v>
      </c>
      <c r="D139" s="2">
        <f t="shared" si="3"/>
        <v>6</v>
      </c>
      <c r="E139" s="28">
        <v>417.2</v>
      </c>
      <c r="F139" s="2" t="s">
        <v>19</v>
      </c>
    </row>
    <row r="140" spans="1:6" x14ac:dyDescent="0.3">
      <c r="A140" s="2">
        <f t="shared" si="2"/>
        <v>2013</v>
      </c>
      <c r="B140" s="2" t="s">
        <v>10</v>
      </c>
      <c r="C140" s="27">
        <v>41456</v>
      </c>
      <c r="D140" s="2">
        <f t="shared" si="3"/>
        <v>7</v>
      </c>
      <c r="E140" s="28">
        <v>445.8</v>
      </c>
      <c r="F140" s="2" t="s">
        <v>19</v>
      </c>
    </row>
    <row r="141" spans="1:6" x14ac:dyDescent="0.3">
      <c r="A141" s="2">
        <f t="shared" si="2"/>
        <v>2013</v>
      </c>
      <c r="B141" s="2" t="s">
        <v>11</v>
      </c>
      <c r="C141" s="27">
        <v>41487</v>
      </c>
      <c r="D141" s="2">
        <f t="shared" si="3"/>
        <v>8</v>
      </c>
      <c r="E141" s="28">
        <v>456.3</v>
      </c>
      <c r="F141" s="2" t="s">
        <v>19</v>
      </c>
    </row>
    <row r="142" spans="1:6" x14ac:dyDescent="0.3">
      <c r="A142" s="2">
        <f t="shared" si="2"/>
        <v>2013</v>
      </c>
      <c r="B142" s="2" t="s">
        <v>12</v>
      </c>
      <c r="C142" s="27">
        <v>41518</v>
      </c>
      <c r="D142" s="2">
        <f t="shared" si="3"/>
        <v>9</v>
      </c>
      <c r="E142" s="28">
        <v>420.7</v>
      </c>
      <c r="F142" s="2" t="s">
        <v>19</v>
      </c>
    </row>
    <row r="143" spans="1:6" x14ac:dyDescent="0.3">
      <c r="A143" s="2">
        <f t="shared" ref="A143:A206" si="4">+A131+1</f>
        <v>2013</v>
      </c>
      <c r="B143" s="2" t="s">
        <v>13</v>
      </c>
      <c r="C143" s="27">
        <v>41548</v>
      </c>
      <c r="D143" s="2">
        <f t="shared" ref="D143:D206" si="5">+D131</f>
        <v>10</v>
      </c>
      <c r="E143" s="28">
        <v>480</v>
      </c>
      <c r="F143" s="2" t="s">
        <v>19</v>
      </c>
    </row>
    <row r="144" spans="1:6" x14ac:dyDescent="0.3">
      <c r="A144" s="2">
        <f t="shared" si="4"/>
        <v>2013</v>
      </c>
      <c r="B144" s="2" t="s">
        <v>14</v>
      </c>
      <c r="C144" s="27">
        <v>41579</v>
      </c>
      <c r="D144" s="2">
        <f t="shared" si="5"/>
        <v>11</v>
      </c>
      <c r="E144" s="28">
        <v>376.6</v>
      </c>
      <c r="F144" s="2" t="s">
        <v>19</v>
      </c>
    </row>
    <row r="145" spans="1:6" x14ac:dyDescent="0.3">
      <c r="A145" s="2">
        <f t="shared" si="4"/>
        <v>2013</v>
      </c>
      <c r="B145" s="2" t="s">
        <v>15</v>
      </c>
      <c r="C145" s="27">
        <v>41609</v>
      </c>
      <c r="D145" s="2">
        <f t="shared" si="5"/>
        <v>12</v>
      </c>
      <c r="E145" s="28">
        <v>447.3</v>
      </c>
      <c r="F145" s="2" t="s">
        <v>19</v>
      </c>
    </row>
    <row r="146" spans="1:6" x14ac:dyDescent="0.3">
      <c r="A146" s="2">
        <f t="shared" si="4"/>
        <v>2014</v>
      </c>
      <c r="B146" s="2" t="s">
        <v>4</v>
      </c>
      <c r="C146" s="27">
        <v>41640</v>
      </c>
      <c r="D146" s="2">
        <f t="shared" si="5"/>
        <v>1</v>
      </c>
      <c r="E146" s="28">
        <v>394.2</v>
      </c>
      <c r="F146" s="2" t="s">
        <v>19</v>
      </c>
    </row>
    <row r="147" spans="1:6" x14ac:dyDescent="0.3">
      <c r="A147" s="2">
        <f t="shared" si="4"/>
        <v>2014</v>
      </c>
      <c r="B147" s="2" t="s">
        <v>5</v>
      </c>
      <c r="C147" s="27">
        <v>41671</v>
      </c>
      <c r="D147" s="2">
        <f t="shared" si="5"/>
        <v>2</v>
      </c>
      <c r="E147" s="28">
        <v>383.9</v>
      </c>
      <c r="F147" s="2" t="s">
        <v>19</v>
      </c>
    </row>
    <row r="148" spans="1:6" x14ac:dyDescent="0.3">
      <c r="A148" s="2">
        <f t="shared" si="4"/>
        <v>2014</v>
      </c>
      <c r="B148" s="2" t="s">
        <v>6</v>
      </c>
      <c r="C148" s="27">
        <v>41699</v>
      </c>
      <c r="D148" s="2">
        <f t="shared" si="5"/>
        <v>3</v>
      </c>
      <c r="E148" s="28">
        <v>459.2</v>
      </c>
      <c r="F148" s="2" t="s">
        <v>19</v>
      </c>
    </row>
    <row r="149" spans="1:6" x14ac:dyDescent="0.3">
      <c r="A149" s="2">
        <f t="shared" si="4"/>
        <v>2014</v>
      </c>
      <c r="B149" s="2" t="s">
        <v>7</v>
      </c>
      <c r="C149" s="27">
        <v>41730</v>
      </c>
      <c r="D149" s="2">
        <f t="shared" si="5"/>
        <v>4</v>
      </c>
      <c r="E149" s="28">
        <v>490.7</v>
      </c>
      <c r="F149" s="2" t="s">
        <v>19</v>
      </c>
    </row>
    <row r="150" spans="1:6" x14ac:dyDescent="0.3">
      <c r="A150" s="2">
        <f t="shared" si="4"/>
        <v>2014</v>
      </c>
      <c r="B150" s="2" t="s">
        <v>8</v>
      </c>
      <c r="C150" s="27">
        <v>41760</v>
      </c>
      <c r="D150" s="2">
        <f t="shared" si="5"/>
        <v>5</v>
      </c>
      <c r="E150" s="28">
        <v>494.1</v>
      </c>
      <c r="F150" s="2" t="s">
        <v>19</v>
      </c>
    </row>
    <row r="151" spans="1:6" x14ac:dyDescent="0.3">
      <c r="A151" s="2">
        <f t="shared" si="4"/>
        <v>2014</v>
      </c>
      <c r="B151" s="2" t="s">
        <v>9</v>
      </c>
      <c r="C151" s="27">
        <v>41791</v>
      </c>
      <c r="D151" s="2">
        <f t="shared" si="5"/>
        <v>6</v>
      </c>
      <c r="E151" s="28">
        <v>481.9</v>
      </c>
      <c r="F151" s="2" t="s">
        <v>19</v>
      </c>
    </row>
    <row r="152" spans="1:6" x14ac:dyDescent="0.3">
      <c r="A152" s="2">
        <f t="shared" si="4"/>
        <v>2014</v>
      </c>
      <c r="B152" s="2" t="s">
        <v>10</v>
      </c>
      <c r="C152" s="27">
        <v>41821</v>
      </c>
      <c r="D152" s="2">
        <f t="shared" si="5"/>
        <v>7</v>
      </c>
      <c r="E152" s="28">
        <v>509.7</v>
      </c>
      <c r="F152" s="2" t="s">
        <v>19</v>
      </c>
    </row>
    <row r="153" spans="1:6" x14ac:dyDescent="0.3">
      <c r="A153" s="2">
        <f t="shared" si="4"/>
        <v>2014</v>
      </c>
      <c r="B153" s="2" t="s">
        <v>11</v>
      </c>
      <c r="C153" s="27">
        <v>41852</v>
      </c>
      <c r="D153" s="2">
        <f t="shared" si="5"/>
        <v>8</v>
      </c>
      <c r="E153" s="28">
        <v>476.8</v>
      </c>
      <c r="F153" s="2" t="s">
        <v>19</v>
      </c>
    </row>
    <row r="154" spans="1:6" x14ac:dyDescent="0.3">
      <c r="A154" s="2">
        <f t="shared" si="4"/>
        <v>2014</v>
      </c>
      <c r="B154" s="2" t="s">
        <v>12</v>
      </c>
      <c r="C154" s="27">
        <v>41883</v>
      </c>
      <c r="D154" s="2">
        <f t="shared" si="5"/>
        <v>9</v>
      </c>
      <c r="E154" s="28">
        <v>458.8</v>
      </c>
      <c r="F154" s="2" t="s">
        <v>19</v>
      </c>
    </row>
    <row r="155" spans="1:6" x14ac:dyDescent="0.3">
      <c r="A155" s="2">
        <f t="shared" si="4"/>
        <v>2014</v>
      </c>
      <c r="B155" s="2" t="s">
        <v>13</v>
      </c>
      <c r="C155" s="27">
        <v>41913</v>
      </c>
      <c r="D155" s="2">
        <f t="shared" si="5"/>
        <v>10</v>
      </c>
      <c r="E155" s="28">
        <v>500.5</v>
      </c>
      <c r="F155" s="2" t="s">
        <v>19</v>
      </c>
    </row>
    <row r="156" spans="1:6" x14ac:dyDescent="0.3">
      <c r="A156" s="2">
        <f t="shared" si="4"/>
        <v>2014</v>
      </c>
      <c r="B156" s="2" t="s">
        <v>14</v>
      </c>
      <c r="C156" s="27">
        <v>41944</v>
      </c>
      <c r="D156" s="2">
        <f t="shared" si="5"/>
        <v>11</v>
      </c>
      <c r="E156" s="28">
        <v>398.3</v>
      </c>
      <c r="F156" s="2" t="s">
        <v>19</v>
      </c>
    </row>
    <row r="157" spans="1:6" x14ac:dyDescent="0.3">
      <c r="A157" s="2">
        <f t="shared" si="4"/>
        <v>2014</v>
      </c>
      <c r="B157" s="2" t="s">
        <v>15</v>
      </c>
      <c r="C157" s="27">
        <v>41974</v>
      </c>
      <c r="D157" s="2">
        <f t="shared" si="5"/>
        <v>12</v>
      </c>
      <c r="E157" s="28">
        <v>496</v>
      </c>
      <c r="F157" s="2" t="s">
        <v>19</v>
      </c>
    </row>
    <row r="158" spans="1:6" x14ac:dyDescent="0.3">
      <c r="A158" s="2">
        <f t="shared" si="4"/>
        <v>2015</v>
      </c>
      <c r="B158" s="2" t="s">
        <v>4</v>
      </c>
      <c r="C158" s="27">
        <v>42005</v>
      </c>
      <c r="D158" s="2">
        <f t="shared" si="5"/>
        <v>1</v>
      </c>
      <c r="E158" s="28">
        <v>407.4</v>
      </c>
      <c r="F158" s="2" t="s">
        <v>19</v>
      </c>
    </row>
    <row r="159" spans="1:6" x14ac:dyDescent="0.3">
      <c r="A159" s="2">
        <f t="shared" si="4"/>
        <v>2015</v>
      </c>
      <c r="B159" s="2" t="s">
        <v>5</v>
      </c>
      <c r="C159" s="27">
        <v>42036</v>
      </c>
      <c r="D159" s="2">
        <f t="shared" si="5"/>
        <v>2</v>
      </c>
      <c r="E159" s="28">
        <v>432</v>
      </c>
      <c r="F159" s="2" t="s">
        <v>19</v>
      </c>
    </row>
    <row r="160" spans="1:6" x14ac:dyDescent="0.3">
      <c r="A160" s="2">
        <f t="shared" si="4"/>
        <v>2015</v>
      </c>
      <c r="B160" s="2" t="s">
        <v>6</v>
      </c>
      <c r="C160" s="27">
        <v>42064</v>
      </c>
      <c r="D160" s="2">
        <f t="shared" si="5"/>
        <v>3</v>
      </c>
      <c r="E160" s="28">
        <v>556.5</v>
      </c>
      <c r="F160" s="2" t="s">
        <v>19</v>
      </c>
    </row>
    <row r="161" spans="1:6" x14ac:dyDescent="0.3">
      <c r="A161" s="2">
        <f t="shared" si="4"/>
        <v>2015</v>
      </c>
      <c r="B161" s="2" t="s">
        <v>7</v>
      </c>
      <c r="C161" s="27">
        <v>42095</v>
      </c>
      <c r="D161" s="2">
        <f t="shared" si="5"/>
        <v>4</v>
      </c>
      <c r="E161" s="28">
        <v>503.8</v>
      </c>
      <c r="F161" s="2" t="s">
        <v>19</v>
      </c>
    </row>
    <row r="162" spans="1:6" x14ac:dyDescent="0.3">
      <c r="A162" s="2">
        <f t="shared" si="4"/>
        <v>2015</v>
      </c>
      <c r="B162" s="2" t="s">
        <v>8</v>
      </c>
      <c r="C162" s="27">
        <v>42125</v>
      </c>
      <c r="D162" s="2">
        <f t="shared" si="5"/>
        <v>5</v>
      </c>
      <c r="E162" s="28">
        <v>519</v>
      </c>
      <c r="F162" s="2" t="s">
        <v>19</v>
      </c>
    </row>
    <row r="163" spans="1:6" x14ac:dyDescent="0.3">
      <c r="A163" s="2">
        <f t="shared" si="4"/>
        <v>2015</v>
      </c>
      <c r="B163" s="2" t="s">
        <v>9</v>
      </c>
      <c r="C163" s="27">
        <v>42156</v>
      </c>
      <c r="D163" s="2">
        <f t="shared" si="5"/>
        <v>6</v>
      </c>
      <c r="E163" s="28">
        <v>536.29999999999995</v>
      </c>
      <c r="F163" s="2" t="s">
        <v>19</v>
      </c>
    </row>
    <row r="164" spans="1:6" x14ac:dyDescent="0.3">
      <c r="A164" s="2">
        <f t="shared" si="4"/>
        <v>2015</v>
      </c>
      <c r="B164" s="2" t="s">
        <v>10</v>
      </c>
      <c r="C164" s="27">
        <v>42186</v>
      </c>
      <c r="D164" s="2">
        <f t="shared" si="5"/>
        <v>7</v>
      </c>
      <c r="E164" s="28">
        <v>573.70000000000005</v>
      </c>
      <c r="F164" s="2" t="s">
        <v>19</v>
      </c>
    </row>
    <row r="165" spans="1:6" x14ac:dyDescent="0.3">
      <c r="A165" s="2">
        <f t="shared" si="4"/>
        <v>2015</v>
      </c>
      <c r="B165" s="2" t="s">
        <v>11</v>
      </c>
      <c r="C165" s="27">
        <v>42217</v>
      </c>
      <c r="D165" s="2">
        <f t="shared" si="5"/>
        <v>8</v>
      </c>
      <c r="E165" s="28">
        <v>527.29999999999995</v>
      </c>
      <c r="F165" s="2" t="s">
        <v>19</v>
      </c>
    </row>
    <row r="166" spans="1:6" x14ac:dyDescent="0.3">
      <c r="A166" s="2">
        <f t="shared" si="4"/>
        <v>2015</v>
      </c>
      <c r="B166" s="2" t="s">
        <v>12</v>
      </c>
      <c r="C166" s="27">
        <v>42248</v>
      </c>
      <c r="D166" s="2">
        <f t="shared" si="5"/>
        <v>9</v>
      </c>
      <c r="E166" s="28">
        <v>538.4</v>
      </c>
      <c r="F166" s="2" t="s">
        <v>19</v>
      </c>
    </row>
    <row r="167" spans="1:6" x14ac:dyDescent="0.3">
      <c r="A167" s="2">
        <f t="shared" si="4"/>
        <v>2015</v>
      </c>
      <c r="B167" s="2" t="s">
        <v>13</v>
      </c>
      <c r="C167" s="27">
        <v>42278</v>
      </c>
      <c r="D167" s="2">
        <f t="shared" si="5"/>
        <v>10</v>
      </c>
      <c r="E167" s="28">
        <v>583.79999999999995</v>
      </c>
      <c r="F167" s="2" t="s">
        <v>19</v>
      </c>
    </row>
    <row r="168" spans="1:6" x14ac:dyDescent="0.3">
      <c r="A168" s="2">
        <f t="shared" si="4"/>
        <v>2015</v>
      </c>
      <c r="B168" s="2" t="s">
        <v>14</v>
      </c>
      <c r="C168" s="27">
        <v>42309</v>
      </c>
      <c r="D168" s="2">
        <f t="shared" si="5"/>
        <v>11</v>
      </c>
      <c r="E168" s="28">
        <v>508.7</v>
      </c>
      <c r="F168" s="2" t="s">
        <v>19</v>
      </c>
    </row>
    <row r="169" spans="1:6" x14ac:dyDescent="0.3">
      <c r="A169" s="2">
        <f t="shared" si="4"/>
        <v>2015</v>
      </c>
      <c r="B169" s="2" t="s">
        <v>15</v>
      </c>
      <c r="C169" s="27">
        <v>42339</v>
      </c>
      <c r="D169" s="2">
        <f t="shared" si="5"/>
        <v>12</v>
      </c>
      <c r="E169" s="28">
        <v>598.1</v>
      </c>
      <c r="F169" s="2" t="s">
        <v>19</v>
      </c>
    </row>
    <row r="170" spans="1:6" x14ac:dyDescent="0.3">
      <c r="A170" s="2">
        <f t="shared" si="4"/>
        <v>2016</v>
      </c>
      <c r="B170" s="2" t="s">
        <v>4</v>
      </c>
      <c r="C170" s="27">
        <v>42370</v>
      </c>
      <c r="D170" s="2">
        <f t="shared" si="5"/>
        <v>1</v>
      </c>
      <c r="E170" s="28">
        <v>482</v>
      </c>
      <c r="F170" s="2" t="s">
        <v>19</v>
      </c>
    </row>
    <row r="171" spans="1:6" x14ac:dyDescent="0.3">
      <c r="A171" s="2">
        <f t="shared" si="4"/>
        <v>2016</v>
      </c>
      <c r="B171" s="2" t="s">
        <v>5</v>
      </c>
      <c r="C171" s="27">
        <v>42401</v>
      </c>
      <c r="D171" s="2">
        <f t="shared" si="5"/>
        <v>2</v>
      </c>
      <c r="E171" s="28">
        <v>558</v>
      </c>
      <c r="F171" s="2" t="s">
        <v>19</v>
      </c>
    </row>
    <row r="172" spans="1:6" x14ac:dyDescent="0.3">
      <c r="A172" s="2">
        <f t="shared" si="4"/>
        <v>2016</v>
      </c>
      <c r="B172" s="2" t="s">
        <v>6</v>
      </c>
      <c r="C172" s="27">
        <v>42430</v>
      </c>
      <c r="D172" s="2">
        <f t="shared" si="5"/>
        <v>3</v>
      </c>
      <c r="E172" s="28">
        <v>623</v>
      </c>
      <c r="F172" s="2" t="s">
        <v>19</v>
      </c>
    </row>
    <row r="173" spans="1:6" x14ac:dyDescent="0.3">
      <c r="A173" s="2">
        <f t="shared" si="4"/>
        <v>2016</v>
      </c>
      <c r="B173" s="2" t="s">
        <v>7</v>
      </c>
      <c r="C173" s="27">
        <v>42461</v>
      </c>
      <c r="D173" s="2">
        <f t="shared" si="5"/>
        <v>4</v>
      </c>
      <c r="E173" s="28">
        <v>609.29999999999995</v>
      </c>
      <c r="F173" s="2" t="s">
        <v>19</v>
      </c>
    </row>
    <row r="174" spans="1:6" x14ac:dyDescent="0.3">
      <c r="A174" s="2">
        <f t="shared" si="4"/>
        <v>2016</v>
      </c>
      <c r="B174" s="2" t="s">
        <v>8</v>
      </c>
      <c r="C174" s="27">
        <v>42491</v>
      </c>
      <c r="D174" s="2">
        <f t="shared" si="5"/>
        <v>5</v>
      </c>
      <c r="E174" s="28">
        <v>625.29999999999995</v>
      </c>
      <c r="F174" s="2" t="s">
        <v>19</v>
      </c>
    </row>
    <row r="175" spans="1:6" x14ac:dyDescent="0.3">
      <c r="A175" s="2">
        <f t="shared" si="4"/>
        <v>2016</v>
      </c>
      <c r="B175" s="2" t="s">
        <v>9</v>
      </c>
      <c r="C175" s="27">
        <v>42522</v>
      </c>
      <c r="D175" s="2">
        <f t="shared" si="5"/>
        <v>6</v>
      </c>
      <c r="E175" s="28">
        <v>614.70000000000005</v>
      </c>
      <c r="F175" s="2" t="s">
        <v>19</v>
      </c>
    </row>
    <row r="176" spans="1:6" x14ac:dyDescent="0.3">
      <c r="A176" s="2">
        <f t="shared" si="4"/>
        <v>2016</v>
      </c>
      <c r="B176" s="2" t="s">
        <v>10</v>
      </c>
      <c r="C176" s="27">
        <v>42552</v>
      </c>
      <c r="D176" s="2">
        <f t="shared" si="5"/>
        <v>7</v>
      </c>
      <c r="E176" s="28">
        <v>536.1</v>
      </c>
      <c r="F176" s="2" t="s">
        <v>19</v>
      </c>
    </row>
    <row r="177" spans="1:6" x14ac:dyDescent="0.3">
      <c r="A177" s="2">
        <f t="shared" si="4"/>
        <v>2016</v>
      </c>
      <c r="B177" s="2" t="s">
        <v>11</v>
      </c>
      <c r="C177" s="27">
        <v>42583</v>
      </c>
      <c r="D177" s="2">
        <f t="shared" si="5"/>
        <v>8</v>
      </c>
      <c r="E177" s="28">
        <v>619.20000000000005</v>
      </c>
      <c r="F177" s="2" t="s">
        <v>19</v>
      </c>
    </row>
    <row r="178" spans="1:6" x14ac:dyDescent="0.3">
      <c r="A178" s="2">
        <f t="shared" si="4"/>
        <v>2016</v>
      </c>
      <c r="B178" s="2" t="s">
        <v>12</v>
      </c>
      <c r="C178" s="27">
        <v>42614</v>
      </c>
      <c r="D178" s="2">
        <f t="shared" si="5"/>
        <v>9</v>
      </c>
      <c r="E178" s="28">
        <v>607.70000000000005</v>
      </c>
      <c r="F178" s="2" t="s">
        <v>19</v>
      </c>
    </row>
    <row r="179" spans="1:6" x14ac:dyDescent="0.3">
      <c r="A179" s="2">
        <f t="shared" si="4"/>
        <v>2016</v>
      </c>
      <c r="B179" s="2" t="s">
        <v>13</v>
      </c>
      <c r="C179" s="27">
        <v>42644</v>
      </c>
      <c r="D179" s="2">
        <f t="shared" si="5"/>
        <v>10</v>
      </c>
      <c r="E179" s="28">
        <v>605.9</v>
      </c>
      <c r="F179" s="2" t="s">
        <v>19</v>
      </c>
    </row>
    <row r="180" spans="1:6" x14ac:dyDescent="0.3">
      <c r="A180" s="2">
        <f t="shared" si="4"/>
        <v>2016</v>
      </c>
      <c r="B180" s="2" t="s">
        <v>14</v>
      </c>
      <c r="C180" s="27">
        <v>42675</v>
      </c>
      <c r="D180" s="2">
        <f t="shared" si="5"/>
        <v>11</v>
      </c>
      <c r="E180" s="28">
        <v>600.29999999999995</v>
      </c>
      <c r="F180" s="2" t="s">
        <v>19</v>
      </c>
    </row>
    <row r="181" spans="1:6" x14ac:dyDescent="0.3">
      <c r="A181" s="2">
        <f t="shared" si="4"/>
        <v>2016</v>
      </c>
      <c r="B181" s="2" t="s">
        <v>15</v>
      </c>
      <c r="C181" s="27">
        <v>42705</v>
      </c>
      <c r="D181" s="2">
        <f t="shared" si="5"/>
        <v>12</v>
      </c>
      <c r="E181" s="28">
        <v>678.4</v>
      </c>
      <c r="F181" s="2" t="s">
        <v>19</v>
      </c>
    </row>
    <row r="182" spans="1:6" x14ac:dyDescent="0.3">
      <c r="A182" s="2">
        <f t="shared" si="4"/>
        <v>2017</v>
      </c>
      <c r="B182" s="2" t="s">
        <v>4</v>
      </c>
      <c r="C182" s="27">
        <v>42736</v>
      </c>
      <c r="D182" s="2">
        <f t="shared" si="5"/>
        <v>1</v>
      </c>
      <c r="E182" s="28">
        <v>587.6</v>
      </c>
      <c r="F182" s="2" t="s">
        <v>19</v>
      </c>
    </row>
    <row r="183" spans="1:6" x14ac:dyDescent="0.3">
      <c r="A183" s="2">
        <f t="shared" si="4"/>
        <v>2017</v>
      </c>
      <c r="B183" s="2" t="s">
        <v>5</v>
      </c>
      <c r="C183" s="27">
        <v>42767</v>
      </c>
      <c r="D183" s="2">
        <f t="shared" si="5"/>
        <v>2</v>
      </c>
      <c r="E183" s="28">
        <v>613.9</v>
      </c>
      <c r="F183" s="2" t="s">
        <v>19</v>
      </c>
    </row>
    <row r="184" spans="1:6" x14ac:dyDescent="0.3">
      <c r="A184" s="2">
        <f t="shared" si="4"/>
        <v>2017</v>
      </c>
      <c r="B184" s="2" t="s">
        <v>6</v>
      </c>
      <c r="C184" s="27">
        <v>42795</v>
      </c>
      <c r="D184" s="2">
        <f t="shared" si="5"/>
        <v>3</v>
      </c>
      <c r="E184" s="28">
        <v>739.8</v>
      </c>
      <c r="F184" s="2" t="s">
        <v>19</v>
      </c>
    </row>
    <row r="185" spans="1:6" x14ac:dyDescent="0.3">
      <c r="A185" s="2">
        <f t="shared" si="4"/>
        <v>2017</v>
      </c>
      <c r="B185" s="2" t="s">
        <v>7</v>
      </c>
      <c r="C185" s="27">
        <v>42826</v>
      </c>
      <c r="D185" s="2">
        <f t="shared" si="5"/>
        <v>4</v>
      </c>
      <c r="E185" s="28">
        <v>639.9</v>
      </c>
      <c r="F185" s="2" t="s">
        <v>19</v>
      </c>
    </row>
    <row r="186" spans="1:6" x14ac:dyDescent="0.3">
      <c r="A186" s="2">
        <f t="shared" si="4"/>
        <v>2017</v>
      </c>
      <c r="B186" s="2" t="s">
        <v>8</v>
      </c>
      <c r="C186" s="27">
        <v>42856</v>
      </c>
      <c r="D186" s="2">
        <f t="shared" si="5"/>
        <v>5</v>
      </c>
      <c r="E186" s="28">
        <v>747.4</v>
      </c>
      <c r="F186" s="2" t="s">
        <v>19</v>
      </c>
    </row>
    <row r="187" spans="1:6" x14ac:dyDescent="0.3">
      <c r="A187" s="2">
        <f t="shared" si="4"/>
        <v>2017</v>
      </c>
      <c r="B187" s="2" t="s">
        <v>9</v>
      </c>
      <c r="C187" s="27">
        <v>42887</v>
      </c>
      <c r="D187" s="2">
        <f t="shared" si="5"/>
        <v>6</v>
      </c>
      <c r="E187" s="28">
        <v>723.7</v>
      </c>
      <c r="F187" s="2" t="s">
        <v>19</v>
      </c>
    </row>
    <row r="188" spans="1:6" x14ac:dyDescent="0.3">
      <c r="A188" s="2">
        <f t="shared" si="4"/>
        <v>2017</v>
      </c>
      <c r="B188" s="2" t="s">
        <v>10</v>
      </c>
      <c r="C188" s="27">
        <v>42917</v>
      </c>
      <c r="D188" s="2">
        <f t="shared" si="5"/>
        <v>7</v>
      </c>
      <c r="E188" s="28">
        <v>664.2</v>
      </c>
      <c r="F188" s="2" t="s">
        <v>19</v>
      </c>
    </row>
    <row r="189" spans="1:6" x14ac:dyDescent="0.3">
      <c r="A189" s="2">
        <f t="shared" si="4"/>
        <v>2017</v>
      </c>
      <c r="B189" s="2" t="s">
        <v>11</v>
      </c>
      <c r="C189" s="27">
        <v>42948</v>
      </c>
      <c r="D189" s="2">
        <f t="shared" si="5"/>
        <v>8</v>
      </c>
      <c r="E189" s="28">
        <v>707.8</v>
      </c>
      <c r="F189" s="2" t="s">
        <v>19</v>
      </c>
    </row>
    <row r="190" spans="1:6" x14ac:dyDescent="0.3">
      <c r="A190" s="2">
        <f t="shared" si="4"/>
        <v>2017</v>
      </c>
      <c r="B190" s="2" t="s">
        <v>12</v>
      </c>
      <c r="C190" s="27">
        <v>42979</v>
      </c>
      <c r="D190" s="2">
        <f t="shared" si="5"/>
        <v>9</v>
      </c>
      <c r="E190" s="28">
        <v>672.9</v>
      </c>
      <c r="F190" s="2" t="s">
        <v>19</v>
      </c>
    </row>
    <row r="191" spans="1:6" x14ac:dyDescent="0.3">
      <c r="A191" s="2">
        <f t="shared" si="4"/>
        <v>2017</v>
      </c>
      <c r="B191" s="2" t="s">
        <v>13</v>
      </c>
      <c r="C191" s="27">
        <v>43009</v>
      </c>
      <c r="D191" s="2">
        <f t="shared" si="5"/>
        <v>10</v>
      </c>
      <c r="E191" s="28">
        <v>728.3</v>
      </c>
      <c r="F191" s="2" t="s">
        <v>19</v>
      </c>
    </row>
    <row r="192" spans="1:6" x14ac:dyDescent="0.3">
      <c r="A192" s="2">
        <f t="shared" si="4"/>
        <v>2017</v>
      </c>
      <c r="B192" s="2" t="s">
        <v>14</v>
      </c>
      <c r="C192" s="27">
        <v>43040</v>
      </c>
      <c r="D192" s="2">
        <f t="shared" si="5"/>
        <v>11</v>
      </c>
      <c r="E192" s="28">
        <v>646.29999999999995</v>
      </c>
      <c r="F192" s="2" t="s">
        <v>19</v>
      </c>
    </row>
    <row r="193" spans="1:6" x14ac:dyDescent="0.3">
      <c r="A193" s="2">
        <f t="shared" si="4"/>
        <v>2017</v>
      </c>
      <c r="B193" s="2" t="s">
        <v>15</v>
      </c>
      <c r="C193" s="27">
        <v>43070</v>
      </c>
      <c r="D193" s="2">
        <f t="shared" si="5"/>
        <v>12</v>
      </c>
      <c r="E193" s="28">
        <v>720.3</v>
      </c>
      <c r="F193" s="2" t="s">
        <v>19</v>
      </c>
    </row>
    <row r="194" spans="1:6" x14ac:dyDescent="0.3">
      <c r="A194" s="2">
        <f t="shared" si="4"/>
        <v>2018</v>
      </c>
      <c r="B194" s="2" t="s">
        <v>4</v>
      </c>
      <c r="C194" s="27">
        <v>43101</v>
      </c>
      <c r="D194" s="2">
        <f t="shared" si="5"/>
        <v>1</v>
      </c>
      <c r="E194" s="28">
        <v>634.6</v>
      </c>
      <c r="F194" s="2" t="s">
        <v>19</v>
      </c>
    </row>
    <row r="195" spans="1:6" x14ac:dyDescent="0.3">
      <c r="A195" s="2">
        <f t="shared" si="4"/>
        <v>2018</v>
      </c>
      <c r="B195" s="2" t="s">
        <v>5</v>
      </c>
      <c r="C195" s="27">
        <v>43132</v>
      </c>
      <c r="D195" s="2">
        <f t="shared" si="5"/>
        <v>2</v>
      </c>
      <c r="E195" s="28">
        <v>630.1</v>
      </c>
      <c r="F195" s="2" t="s">
        <v>19</v>
      </c>
    </row>
    <row r="196" spans="1:6" x14ac:dyDescent="0.3">
      <c r="A196" s="2">
        <f t="shared" si="4"/>
        <v>2018</v>
      </c>
      <c r="B196" s="2" t="s">
        <v>6</v>
      </c>
      <c r="C196" s="27">
        <v>43160</v>
      </c>
      <c r="D196" s="2">
        <f t="shared" si="5"/>
        <v>3</v>
      </c>
      <c r="E196" s="28">
        <v>754.5</v>
      </c>
      <c r="F196" s="2" t="s">
        <v>19</v>
      </c>
    </row>
    <row r="197" spans="1:6" x14ac:dyDescent="0.3">
      <c r="A197" s="2">
        <f t="shared" si="4"/>
        <v>2018</v>
      </c>
      <c r="B197" s="2" t="s">
        <v>7</v>
      </c>
      <c r="C197" s="27">
        <v>43191</v>
      </c>
      <c r="D197" s="2">
        <f t="shared" si="5"/>
        <v>4</v>
      </c>
      <c r="E197" s="28">
        <v>769.9</v>
      </c>
      <c r="F197" s="2" t="s">
        <v>19</v>
      </c>
    </row>
    <row r="198" spans="1:6" x14ac:dyDescent="0.3">
      <c r="A198" s="2">
        <f t="shared" si="4"/>
        <v>2018</v>
      </c>
      <c r="B198" s="2" t="s">
        <v>8</v>
      </c>
      <c r="C198" s="27">
        <v>43221</v>
      </c>
      <c r="D198" s="2">
        <f t="shared" si="5"/>
        <v>5</v>
      </c>
      <c r="E198" s="28">
        <v>808.5</v>
      </c>
      <c r="F198" s="2" t="s">
        <v>19</v>
      </c>
    </row>
    <row r="199" spans="1:6" x14ac:dyDescent="0.3">
      <c r="A199" s="2">
        <f t="shared" si="4"/>
        <v>2018</v>
      </c>
      <c r="B199" s="2" t="s">
        <v>9</v>
      </c>
      <c r="C199" s="27">
        <v>43252</v>
      </c>
      <c r="D199" s="2">
        <f t="shared" si="5"/>
        <v>6</v>
      </c>
      <c r="E199" s="28">
        <v>801.4</v>
      </c>
      <c r="F199" s="2" t="s">
        <v>19</v>
      </c>
    </row>
    <row r="200" spans="1:6" x14ac:dyDescent="0.3">
      <c r="A200" s="2">
        <f t="shared" si="4"/>
        <v>2018</v>
      </c>
      <c r="B200" s="2" t="s">
        <v>10</v>
      </c>
      <c r="C200" s="27">
        <v>43282</v>
      </c>
      <c r="D200" s="2">
        <f t="shared" si="5"/>
        <v>7</v>
      </c>
      <c r="E200" s="28">
        <v>818.3</v>
      </c>
      <c r="F200" s="2" t="s">
        <v>19</v>
      </c>
    </row>
    <row r="201" spans="1:6" x14ac:dyDescent="0.3">
      <c r="A201" s="2">
        <f t="shared" si="4"/>
        <v>2018</v>
      </c>
      <c r="B201" s="2" t="s">
        <v>11</v>
      </c>
      <c r="C201" s="27">
        <v>43313</v>
      </c>
      <c r="D201" s="2">
        <f t="shared" si="5"/>
        <v>8</v>
      </c>
      <c r="E201" s="28">
        <v>860.4</v>
      </c>
      <c r="F201" s="2" t="s">
        <v>19</v>
      </c>
    </row>
    <row r="202" spans="1:6" x14ac:dyDescent="0.3">
      <c r="A202" s="2">
        <f t="shared" si="4"/>
        <v>2018</v>
      </c>
      <c r="B202" s="2" t="s">
        <v>12</v>
      </c>
      <c r="C202" s="27">
        <v>43344</v>
      </c>
      <c r="D202" s="2">
        <f t="shared" si="5"/>
        <v>9</v>
      </c>
      <c r="E202" s="28">
        <v>746</v>
      </c>
      <c r="F202" s="2" t="s">
        <v>19</v>
      </c>
    </row>
    <row r="203" spans="1:6" x14ac:dyDescent="0.3">
      <c r="A203" s="2">
        <f t="shared" si="4"/>
        <v>2018</v>
      </c>
      <c r="B203" s="2" t="s">
        <v>13</v>
      </c>
      <c r="C203" s="27">
        <v>43374</v>
      </c>
      <c r="D203" s="2">
        <f t="shared" si="5"/>
        <v>10</v>
      </c>
      <c r="E203" s="28">
        <v>863.5</v>
      </c>
      <c r="F203" s="2" t="s">
        <v>19</v>
      </c>
    </row>
    <row r="204" spans="1:6" x14ac:dyDescent="0.3">
      <c r="A204" s="2">
        <f t="shared" si="4"/>
        <v>2018</v>
      </c>
      <c r="B204" s="2" t="s">
        <v>14</v>
      </c>
      <c r="C204" s="27">
        <v>43405</v>
      </c>
      <c r="D204" s="2">
        <f t="shared" si="5"/>
        <v>11</v>
      </c>
      <c r="E204" s="28">
        <v>757.1</v>
      </c>
      <c r="F204" s="2" t="s">
        <v>19</v>
      </c>
    </row>
    <row r="205" spans="1:6" x14ac:dyDescent="0.3">
      <c r="A205" s="2">
        <f t="shared" si="4"/>
        <v>2018</v>
      </c>
      <c r="B205" s="2" t="s">
        <v>15</v>
      </c>
      <c r="C205" s="27">
        <v>43435</v>
      </c>
      <c r="D205" s="2">
        <f t="shared" si="5"/>
        <v>12</v>
      </c>
      <c r="E205" s="28">
        <v>843.3</v>
      </c>
      <c r="F205" s="2" t="s">
        <v>19</v>
      </c>
    </row>
    <row r="206" spans="1:6" x14ac:dyDescent="0.3">
      <c r="A206" s="2">
        <f t="shared" si="4"/>
        <v>2019</v>
      </c>
      <c r="B206" s="2" t="s">
        <v>4</v>
      </c>
      <c r="C206" s="27">
        <v>43466</v>
      </c>
      <c r="D206" s="2">
        <f t="shared" si="5"/>
        <v>1</v>
      </c>
      <c r="E206" s="28">
        <v>688.1</v>
      </c>
      <c r="F206" s="2" t="s">
        <v>19</v>
      </c>
    </row>
    <row r="207" spans="1:6" x14ac:dyDescent="0.3">
      <c r="A207" s="2">
        <f t="shared" ref="A207:A270" si="6">+A195+1</f>
        <v>2019</v>
      </c>
      <c r="B207" s="2" t="s">
        <v>5</v>
      </c>
      <c r="C207" s="27">
        <v>43497</v>
      </c>
      <c r="D207" s="2">
        <f t="shared" ref="D207:D270" si="7">+D195</f>
        <v>2</v>
      </c>
      <c r="E207" s="28">
        <v>690.5</v>
      </c>
      <c r="F207" s="2" t="s">
        <v>19</v>
      </c>
    </row>
    <row r="208" spans="1:6" x14ac:dyDescent="0.3">
      <c r="A208" s="2">
        <f t="shared" si="6"/>
        <v>2019</v>
      </c>
      <c r="B208" s="2" t="s">
        <v>6</v>
      </c>
      <c r="C208" s="27">
        <v>43525</v>
      </c>
      <c r="D208" s="2">
        <f t="shared" si="7"/>
        <v>3</v>
      </c>
      <c r="E208" s="28">
        <v>826.7</v>
      </c>
      <c r="F208" s="2" t="s">
        <v>19</v>
      </c>
    </row>
    <row r="209" spans="1:6" x14ac:dyDescent="0.3">
      <c r="A209" s="2">
        <f t="shared" si="6"/>
        <v>2019</v>
      </c>
      <c r="B209" s="2" t="s">
        <v>7</v>
      </c>
      <c r="C209" s="27">
        <v>43556</v>
      </c>
      <c r="D209" s="2">
        <f t="shared" si="7"/>
        <v>4</v>
      </c>
      <c r="E209" s="28">
        <v>865.2</v>
      </c>
      <c r="F209" s="2" t="s">
        <v>19</v>
      </c>
    </row>
    <row r="210" spans="1:6" x14ac:dyDescent="0.3">
      <c r="A210" s="2">
        <f t="shared" si="6"/>
        <v>2019</v>
      </c>
      <c r="B210" s="2" t="s">
        <v>8</v>
      </c>
      <c r="C210" s="27">
        <v>43586</v>
      </c>
      <c r="D210" s="2">
        <f t="shared" si="7"/>
        <v>5</v>
      </c>
      <c r="E210" s="28">
        <v>974.5</v>
      </c>
      <c r="F210" s="2" t="s">
        <v>19</v>
      </c>
    </row>
    <row r="211" spans="1:6" x14ac:dyDescent="0.3">
      <c r="A211" s="2">
        <f t="shared" si="6"/>
        <v>2019</v>
      </c>
      <c r="B211" s="2" t="s">
        <v>9</v>
      </c>
      <c r="C211" s="27">
        <v>43617</v>
      </c>
      <c r="D211" s="2">
        <f t="shared" si="7"/>
        <v>6</v>
      </c>
      <c r="E211" s="28">
        <v>882</v>
      </c>
      <c r="F211" s="2" t="s">
        <v>19</v>
      </c>
    </row>
    <row r="212" spans="1:6" x14ac:dyDescent="0.3">
      <c r="A212" s="2">
        <f t="shared" si="6"/>
        <v>2019</v>
      </c>
      <c r="B212" s="2" t="s">
        <v>10</v>
      </c>
      <c r="C212" s="27">
        <v>43647</v>
      </c>
      <c r="D212" s="2">
        <f t="shared" si="7"/>
        <v>7</v>
      </c>
      <c r="E212" s="28">
        <v>947.8</v>
      </c>
      <c r="F212" s="2" t="s">
        <v>19</v>
      </c>
    </row>
    <row r="213" spans="1:6" x14ac:dyDescent="0.3">
      <c r="A213" s="2">
        <f t="shared" si="6"/>
        <v>2019</v>
      </c>
      <c r="B213" s="2" t="s">
        <v>11</v>
      </c>
      <c r="C213" s="27">
        <v>43678</v>
      </c>
      <c r="D213" s="2">
        <f t="shared" si="7"/>
        <v>8</v>
      </c>
      <c r="E213" s="28">
        <v>980.6</v>
      </c>
      <c r="F213" s="2" t="s">
        <v>19</v>
      </c>
    </row>
    <row r="214" spans="1:6" x14ac:dyDescent="0.3">
      <c r="A214" s="2">
        <f t="shared" si="6"/>
        <v>2019</v>
      </c>
      <c r="B214" s="2" t="s">
        <v>12</v>
      </c>
      <c r="C214" s="27">
        <v>43709</v>
      </c>
      <c r="D214" s="2">
        <f t="shared" si="7"/>
        <v>9</v>
      </c>
      <c r="E214" s="28">
        <v>892.3</v>
      </c>
      <c r="F214" s="2" t="s">
        <v>19</v>
      </c>
    </row>
    <row r="215" spans="1:6" x14ac:dyDescent="0.3">
      <c r="A215" s="2">
        <f t="shared" si="6"/>
        <v>2019</v>
      </c>
      <c r="B215" s="2" t="s">
        <v>13</v>
      </c>
      <c r="C215" s="27">
        <v>43739</v>
      </c>
      <c r="D215" s="2">
        <f t="shared" si="7"/>
        <v>10</v>
      </c>
      <c r="E215" s="28">
        <v>1000</v>
      </c>
      <c r="F215" s="2" t="s">
        <v>19</v>
      </c>
    </row>
    <row r="216" spans="1:6" x14ac:dyDescent="0.3">
      <c r="A216" s="2">
        <f t="shared" si="6"/>
        <v>2019</v>
      </c>
      <c r="B216" s="2" t="s">
        <v>14</v>
      </c>
      <c r="C216" s="27">
        <v>43770</v>
      </c>
      <c r="D216" s="2">
        <f t="shared" si="7"/>
        <v>11</v>
      </c>
      <c r="E216" s="28">
        <v>819.9</v>
      </c>
      <c r="F216" s="2" t="s">
        <v>19</v>
      </c>
    </row>
    <row r="217" spans="1:6" x14ac:dyDescent="0.3">
      <c r="A217" s="2">
        <f t="shared" si="6"/>
        <v>2019</v>
      </c>
      <c r="B217" s="2" t="s">
        <v>15</v>
      </c>
      <c r="C217" s="27">
        <v>43800</v>
      </c>
      <c r="D217" s="2">
        <f t="shared" si="7"/>
        <v>12</v>
      </c>
      <c r="E217" s="28">
        <v>940.8</v>
      </c>
      <c r="F217" s="2" t="s">
        <v>19</v>
      </c>
    </row>
    <row r="218" spans="1:6" x14ac:dyDescent="0.3">
      <c r="A218" s="2">
        <f t="shared" si="6"/>
        <v>2020</v>
      </c>
      <c r="B218" s="2" t="s">
        <v>4</v>
      </c>
      <c r="C218" s="27">
        <v>43831</v>
      </c>
      <c r="D218" s="2">
        <f t="shared" si="7"/>
        <v>1</v>
      </c>
      <c r="E218" s="28">
        <v>834.6</v>
      </c>
      <c r="F218" s="2" t="s">
        <v>19</v>
      </c>
    </row>
    <row r="219" spans="1:6" x14ac:dyDescent="0.3">
      <c r="A219" s="2">
        <f t="shared" si="6"/>
        <v>2020</v>
      </c>
      <c r="B219" s="2" t="s">
        <v>5</v>
      </c>
      <c r="C219" s="27">
        <v>43862</v>
      </c>
      <c r="D219" s="2">
        <f t="shared" si="7"/>
        <v>2</v>
      </c>
      <c r="E219" s="28">
        <v>808</v>
      </c>
      <c r="F219" s="2" t="s">
        <v>19</v>
      </c>
    </row>
    <row r="220" spans="1:6" x14ac:dyDescent="0.3">
      <c r="A220" s="2">
        <f t="shared" si="6"/>
        <v>2020</v>
      </c>
      <c r="B220" s="2" t="s">
        <v>6</v>
      </c>
      <c r="C220" s="27">
        <v>43891</v>
      </c>
      <c r="D220" s="2">
        <f t="shared" si="7"/>
        <v>3</v>
      </c>
      <c r="E220" s="28">
        <v>746.8</v>
      </c>
      <c r="F220" s="2" t="s">
        <v>19</v>
      </c>
    </row>
    <row r="221" spans="1:6" x14ac:dyDescent="0.3">
      <c r="A221" s="2">
        <f t="shared" si="6"/>
        <v>2020</v>
      </c>
      <c r="B221" s="2" t="s">
        <v>7</v>
      </c>
      <c r="C221" s="27">
        <v>43922</v>
      </c>
      <c r="D221" s="2">
        <f t="shared" si="7"/>
        <v>4</v>
      </c>
      <c r="E221" s="28">
        <v>690.8</v>
      </c>
      <c r="F221" s="2" t="s">
        <v>19</v>
      </c>
    </row>
    <row r="222" spans="1:6" x14ac:dyDescent="0.3">
      <c r="A222" s="2">
        <f t="shared" si="6"/>
        <v>2020</v>
      </c>
      <c r="B222" s="2" t="s">
        <v>8</v>
      </c>
      <c r="C222" s="27">
        <v>43952</v>
      </c>
      <c r="D222" s="2">
        <f t="shared" si="7"/>
        <v>5</v>
      </c>
      <c r="E222" s="28">
        <v>836.8</v>
      </c>
      <c r="F222" s="2" t="s">
        <v>19</v>
      </c>
    </row>
    <row r="223" spans="1:6" x14ac:dyDescent="0.3">
      <c r="A223" s="2">
        <f t="shared" si="6"/>
        <v>2020</v>
      </c>
      <c r="B223" s="2" t="s">
        <v>9</v>
      </c>
      <c r="C223" s="27">
        <v>43983</v>
      </c>
      <c r="D223" s="2">
        <f t="shared" si="7"/>
        <v>6</v>
      </c>
      <c r="E223" s="28">
        <v>963.3</v>
      </c>
      <c r="F223" s="2" t="s">
        <v>19</v>
      </c>
    </row>
    <row r="224" spans="1:6" x14ac:dyDescent="0.3">
      <c r="A224" s="2">
        <f t="shared" si="6"/>
        <v>2020</v>
      </c>
      <c r="B224" s="2" t="s">
        <v>10</v>
      </c>
      <c r="C224" s="27">
        <v>44013</v>
      </c>
      <c r="D224" s="2">
        <f t="shared" si="7"/>
        <v>7</v>
      </c>
      <c r="E224" s="28">
        <v>1078.7</v>
      </c>
      <c r="F224" s="2" t="s">
        <v>19</v>
      </c>
    </row>
    <row r="225" spans="1:6" x14ac:dyDescent="0.3">
      <c r="A225" s="2">
        <f t="shared" si="6"/>
        <v>2020</v>
      </c>
      <c r="B225" s="2" t="s">
        <v>11</v>
      </c>
      <c r="C225" s="27">
        <v>44044</v>
      </c>
      <c r="D225" s="2">
        <f t="shared" si="7"/>
        <v>8</v>
      </c>
      <c r="E225" s="28">
        <v>1050.2</v>
      </c>
      <c r="F225" s="2" t="s">
        <v>19</v>
      </c>
    </row>
    <row r="226" spans="1:6" x14ac:dyDescent="0.3">
      <c r="A226" s="2">
        <f t="shared" si="6"/>
        <v>2020</v>
      </c>
      <c r="B226" s="2" t="s">
        <v>12</v>
      </c>
      <c r="C226" s="27">
        <v>44075</v>
      </c>
      <c r="D226" s="2">
        <f t="shared" si="7"/>
        <v>9</v>
      </c>
      <c r="E226" s="28">
        <v>1051.3</v>
      </c>
      <c r="F226" s="2" t="s">
        <v>19</v>
      </c>
    </row>
    <row r="227" spans="1:6" x14ac:dyDescent="0.3">
      <c r="A227" s="2">
        <f t="shared" si="6"/>
        <v>2020</v>
      </c>
      <c r="B227" s="2" t="s">
        <v>13</v>
      </c>
      <c r="C227" s="27">
        <v>44105</v>
      </c>
      <c r="D227" s="2">
        <f t="shared" si="7"/>
        <v>10</v>
      </c>
      <c r="E227" s="28">
        <v>1133</v>
      </c>
      <c r="F227" s="2" t="s">
        <v>19</v>
      </c>
    </row>
    <row r="228" spans="1:6" x14ac:dyDescent="0.3">
      <c r="A228" s="2">
        <f t="shared" si="6"/>
        <v>2020</v>
      </c>
      <c r="B228" s="2" t="s">
        <v>14</v>
      </c>
      <c r="C228" s="27">
        <v>44136</v>
      </c>
      <c r="D228" s="2">
        <f t="shared" si="7"/>
        <v>11</v>
      </c>
      <c r="E228" s="28">
        <v>983.4</v>
      </c>
      <c r="F228" s="2" t="s">
        <v>19</v>
      </c>
    </row>
    <row r="229" spans="1:6" x14ac:dyDescent="0.3">
      <c r="A229" s="2">
        <f t="shared" si="6"/>
        <v>2020</v>
      </c>
      <c r="B229" s="2" t="s">
        <v>15</v>
      </c>
      <c r="C229" s="27">
        <v>44166</v>
      </c>
      <c r="D229" s="2">
        <f t="shared" si="7"/>
        <v>12</v>
      </c>
      <c r="E229" s="28">
        <v>1163.5999999999999</v>
      </c>
      <c r="F229" s="2" t="s">
        <v>19</v>
      </c>
    </row>
    <row r="230" spans="1:6" x14ac:dyDescent="0.3">
      <c r="A230" s="2">
        <f t="shared" si="6"/>
        <v>2021</v>
      </c>
      <c r="B230" s="2" t="s">
        <v>4</v>
      </c>
      <c r="C230" s="27">
        <v>44197</v>
      </c>
      <c r="D230" s="2">
        <f t="shared" si="7"/>
        <v>1</v>
      </c>
      <c r="E230" s="28">
        <v>906.8</v>
      </c>
      <c r="F230" s="2" t="s">
        <v>19</v>
      </c>
    </row>
    <row r="231" spans="1:6" x14ac:dyDescent="0.3">
      <c r="A231" s="2">
        <f t="shared" si="6"/>
        <v>2021</v>
      </c>
      <c r="B231" s="2" t="s">
        <v>5</v>
      </c>
      <c r="C231" s="27">
        <v>44228</v>
      </c>
      <c r="D231" s="2">
        <f t="shared" si="7"/>
        <v>2</v>
      </c>
      <c r="E231" s="28">
        <v>942.9</v>
      </c>
      <c r="F231" s="2" t="s">
        <v>19</v>
      </c>
    </row>
    <row r="232" spans="1:6" x14ac:dyDescent="0.3">
      <c r="A232" s="2">
        <f t="shared" si="6"/>
        <v>2021</v>
      </c>
      <c r="B232" s="2" t="s">
        <v>6</v>
      </c>
      <c r="C232" s="27">
        <v>44256</v>
      </c>
      <c r="D232" s="2">
        <f t="shared" si="7"/>
        <v>3</v>
      </c>
      <c r="E232" s="28">
        <v>1285.5999999999999</v>
      </c>
      <c r="F232" s="2" t="s">
        <v>19</v>
      </c>
    </row>
    <row r="233" spans="1:6" x14ac:dyDescent="0.3">
      <c r="A233" s="2">
        <f t="shared" si="6"/>
        <v>2021</v>
      </c>
      <c r="B233" s="2" t="s">
        <v>7</v>
      </c>
      <c r="C233" s="27">
        <v>44287</v>
      </c>
      <c r="D233" s="2">
        <f t="shared" si="7"/>
        <v>4</v>
      </c>
      <c r="E233" s="28">
        <v>1231.7</v>
      </c>
      <c r="F233" s="2" t="s">
        <v>19</v>
      </c>
    </row>
    <row r="234" spans="1:6" x14ac:dyDescent="0.3">
      <c r="A234" s="2">
        <f t="shared" si="6"/>
        <v>2021</v>
      </c>
      <c r="B234" s="2" t="s">
        <v>8</v>
      </c>
      <c r="C234" s="27">
        <v>44317</v>
      </c>
      <c r="D234" s="2">
        <f t="shared" si="7"/>
        <v>5</v>
      </c>
      <c r="E234" s="28">
        <v>1236.7</v>
      </c>
      <c r="F234" s="2" t="s">
        <v>19</v>
      </c>
    </row>
    <row r="235" spans="1:6" x14ac:dyDescent="0.3">
      <c r="A235" s="2">
        <f t="shared" si="6"/>
        <v>2021</v>
      </c>
      <c r="B235" s="2" t="s">
        <v>9</v>
      </c>
      <c r="C235" s="27">
        <v>44348</v>
      </c>
      <c r="D235" s="2">
        <f t="shared" si="7"/>
        <v>6</v>
      </c>
      <c r="E235" s="28">
        <v>1362.5</v>
      </c>
      <c r="F235" s="2" t="s">
        <v>19</v>
      </c>
    </row>
    <row r="236" spans="1:6" x14ac:dyDescent="0.3">
      <c r="A236" s="2">
        <f t="shared" si="6"/>
        <v>2021</v>
      </c>
      <c r="B236" s="2" t="s">
        <v>10</v>
      </c>
      <c r="C236" s="27">
        <v>44378</v>
      </c>
      <c r="D236" s="2">
        <f t="shared" si="7"/>
        <v>7</v>
      </c>
      <c r="E236" s="28">
        <v>1354.3</v>
      </c>
      <c r="F236" s="2" t="s">
        <v>19</v>
      </c>
    </row>
    <row r="237" spans="1:6" x14ac:dyDescent="0.3">
      <c r="A237" s="2">
        <f t="shared" si="6"/>
        <v>2021</v>
      </c>
      <c r="B237" s="2" t="s">
        <v>11</v>
      </c>
      <c r="C237" s="27">
        <v>44409</v>
      </c>
      <c r="D237" s="2">
        <f t="shared" si="7"/>
        <v>8</v>
      </c>
      <c r="E237" s="28">
        <v>1388.6</v>
      </c>
      <c r="F237" s="2" t="s">
        <v>19</v>
      </c>
    </row>
    <row r="238" spans="1:6" x14ac:dyDescent="0.3">
      <c r="A238" s="2">
        <f t="shared" si="6"/>
        <v>2021</v>
      </c>
      <c r="B238" s="2" t="s">
        <v>12</v>
      </c>
      <c r="C238" s="27">
        <v>44440</v>
      </c>
      <c r="D238" s="2">
        <f t="shared" si="7"/>
        <v>9</v>
      </c>
      <c r="E238" s="28">
        <v>1299.3</v>
      </c>
      <c r="F238" s="2" t="s">
        <v>19</v>
      </c>
    </row>
    <row r="239" spans="1:6" x14ac:dyDescent="0.3">
      <c r="A239" s="2">
        <f t="shared" si="6"/>
        <v>2021</v>
      </c>
      <c r="B239" s="2" t="s">
        <v>13</v>
      </c>
      <c r="C239" s="27">
        <v>44470</v>
      </c>
      <c r="D239" s="2">
        <f t="shared" si="7"/>
        <v>10</v>
      </c>
      <c r="E239" s="28">
        <v>1418.5</v>
      </c>
      <c r="F239" s="2" t="s">
        <v>19</v>
      </c>
    </row>
    <row r="240" spans="1:6" x14ac:dyDescent="0.3">
      <c r="A240" s="2">
        <f t="shared" si="6"/>
        <v>2021</v>
      </c>
      <c r="B240" s="2" t="s">
        <v>14</v>
      </c>
      <c r="C240" s="27">
        <v>44501</v>
      </c>
      <c r="D240" s="2">
        <f t="shared" si="7"/>
        <v>11</v>
      </c>
      <c r="E240" s="28">
        <v>1356.6</v>
      </c>
      <c r="F240" s="2" t="s">
        <v>19</v>
      </c>
    </row>
    <row r="241" spans="1:6" x14ac:dyDescent="0.3">
      <c r="A241" s="2">
        <f t="shared" si="6"/>
        <v>2021</v>
      </c>
      <c r="B241" s="2" t="s">
        <v>15</v>
      </c>
      <c r="C241" s="27">
        <v>44531</v>
      </c>
      <c r="D241" s="2">
        <f t="shared" si="7"/>
        <v>12</v>
      </c>
      <c r="E241" s="28">
        <v>1512.2</v>
      </c>
      <c r="F241" s="2" t="s">
        <v>19</v>
      </c>
    </row>
    <row r="242" spans="1:6" x14ac:dyDescent="0.3">
      <c r="A242" s="2">
        <f t="shared" si="6"/>
        <v>2022</v>
      </c>
      <c r="B242" s="2" t="s">
        <v>4</v>
      </c>
      <c r="C242" s="27">
        <v>44562</v>
      </c>
      <c r="D242" s="2">
        <f t="shared" si="7"/>
        <v>1</v>
      </c>
      <c r="E242" s="28">
        <v>1180.7</v>
      </c>
      <c r="F242" s="2" t="s">
        <v>19</v>
      </c>
    </row>
    <row r="243" spans="1:6" x14ac:dyDescent="0.3">
      <c r="A243" s="2">
        <f t="shared" si="6"/>
        <v>2022</v>
      </c>
      <c r="B243" s="2" t="s">
        <v>5</v>
      </c>
      <c r="C243" s="27">
        <v>44593</v>
      </c>
      <c r="D243" s="2">
        <f t="shared" si="7"/>
        <v>2</v>
      </c>
      <c r="E243" s="28">
        <v>1262.7</v>
      </c>
      <c r="F243" s="2" t="s">
        <v>19</v>
      </c>
    </row>
    <row r="244" spans="1:6" x14ac:dyDescent="0.3">
      <c r="A244" s="2">
        <f t="shared" si="6"/>
        <v>2022</v>
      </c>
      <c r="B244" s="2" t="s">
        <v>6</v>
      </c>
      <c r="C244" s="27">
        <v>44621</v>
      </c>
      <c r="D244" s="2">
        <f t="shared" si="7"/>
        <v>3</v>
      </c>
      <c r="E244" s="28">
        <v>1493.1</v>
      </c>
      <c r="F244" s="2" t="s">
        <v>19</v>
      </c>
    </row>
    <row r="245" spans="1:6" x14ac:dyDescent="0.3">
      <c r="A245" s="2">
        <f t="shared" si="6"/>
        <v>2022</v>
      </c>
      <c r="B245" s="2" t="s">
        <v>7</v>
      </c>
      <c r="C245" s="27">
        <v>44652</v>
      </c>
      <c r="D245" s="2">
        <f t="shared" si="7"/>
        <v>4</v>
      </c>
      <c r="E245" s="28">
        <v>1516.1</v>
      </c>
      <c r="F245" s="2" t="s">
        <v>19</v>
      </c>
    </row>
    <row r="246" spans="1:6" x14ac:dyDescent="0.3">
      <c r="A246" s="2">
        <f t="shared" si="6"/>
        <v>2022</v>
      </c>
      <c r="B246" s="2" t="s">
        <v>8</v>
      </c>
      <c r="C246" s="27">
        <v>44682</v>
      </c>
      <c r="D246" s="2">
        <f t="shared" si="7"/>
        <v>5</v>
      </c>
      <c r="E246" s="28">
        <v>1592.5</v>
      </c>
      <c r="F246" s="2" t="s">
        <v>19</v>
      </c>
    </row>
    <row r="247" spans="1:6" x14ac:dyDescent="0.3">
      <c r="A247" s="2">
        <f t="shared" si="6"/>
        <v>2022</v>
      </c>
      <c r="B247" s="2" t="s">
        <v>9</v>
      </c>
      <c r="C247" s="27">
        <v>44713</v>
      </c>
      <c r="D247" s="2">
        <f t="shared" si="7"/>
        <v>6</v>
      </c>
      <c r="E247" s="28">
        <v>1666.2</v>
      </c>
      <c r="F247" s="2" t="s">
        <v>19</v>
      </c>
    </row>
    <row r="248" spans="1:6" x14ac:dyDescent="0.3">
      <c r="A248" s="2">
        <f t="shared" si="6"/>
        <v>2022</v>
      </c>
      <c r="B248" s="2" t="s">
        <v>10</v>
      </c>
      <c r="C248" s="27">
        <v>44743</v>
      </c>
      <c r="D248" s="2">
        <f t="shared" si="7"/>
        <v>7</v>
      </c>
      <c r="E248" s="28">
        <v>1370</v>
      </c>
      <c r="F248" s="2" t="s">
        <v>19</v>
      </c>
    </row>
    <row r="249" spans="1:6" x14ac:dyDescent="0.3">
      <c r="A249" s="2">
        <f t="shared" si="6"/>
        <v>2022</v>
      </c>
      <c r="B249" s="2" t="s">
        <v>11</v>
      </c>
      <c r="C249" s="27">
        <v>44774</v>
      </c>
      <c r="D249" s="2">
        <f t="shared" si="7"/>
        <v>8</v>
      </c>
      <c r="E249" s="28">
        <v>1642.7</v>
      </c>
      <c r="F249" s="2" t="s">
        <v>19</v>
      </c>
    </row>
    <row r="250" spans="1:6" x14ac:dyDescent="0.3">
      <c r="A250" s="2">
        <f t="shared" si="6"/>
        <v>2022</v>
      </c>
      <c r="B250" s="2" t="s">
        <v>12</v>
      </c>
      <c r="C250" s="27">
        <v>44805</v>
      </c>
      <c r="D250" s="2">
        <f t="shared" si="7"/>
        <v>9</v>
      </c>
      <c r="E250" s="28">
        <v>1597.2</v>
      </c>
      <c r="F250" s="2" t="s">
        <v>19</v>
      </c>
    </row>
    <row r="251" spans="1:6" x14ac:dyDescent="0.3">
      <c r="A251" s="2">
        <f t="shared" si="6"/>
        <v>2022</v>
      </c>
      <c r="B251" s="2" t="s">
        <v>13</v>
      </c>
      <c r="C251" s="27">
        <v>44835</v>
      </c>
      <c r="D251" s="2">
        <f t="shared" si="7"/>
        <v>10</v>
      </c>
      <c r="E251" s="28">
        <v>1622.4</v>
      </c>
      <c r="F251" s="2" t="s">
        <v>19</v>
      </c>
    </row>
    <row r="252" spans="1:6" x14ac:dyDescent="0.3">
      <c r="A252" s="2">
        <f t="shared" si="6"/>
        <v>2022</v>
      </c>
      <c r="B252" s="2" t="s">
        <v>14</v>
      </c>
      <c r="C252" s="27">
        <v>44866</v>
      </c>
      <c r="D252" s="2">
        <f t="shared" si="7"/>
        <v>11</v>
      </c>
      <c r="E252" s="28">
        <v>1455</v>
      </c>
      <c r="F252" s="2" t="s">
        <v>19</v>
      </c>
    </row>
    <row r="253" spans="1:6" x14ac:dyDescent="0.3">
      <c r="A253" s="2">
        <f t="shared" si="6"/>
        <v>2022</v>
      </c>
      <c r="B253" s="2" t="s">
        <v>15</v>
      </c>
      <c r="C253" s="27">
        <v>44896</v>
      </c>
      <c r="D253" s="2">
        <f t="shared" si="7"/>
        <v>12</v>
      </c>
      <c r="E253" s="28">
        <v>1641.6</v>
      </c>
      <c r="F253" s="2" t="s">
        <v>19</v>
      </c>
    </row>
    <row r="254" spans="1:6" x14ac:dyDescent="0.3">
      <c r="A254" s="2">
        <f t="shared" si="6"/>
        <v>2023</v>
      </c>
      <c r="B254" s="2" t="s">
        <v>4</v>
      </c>
      <c r="C254" s="27">
        <v>44927</v>
      </c>
      <c r="D254" s="2">
        <f t="shared" si="7"/>
        <v>1</v>
      </c>
      <c r="E254" s="28">
        <v>1386.5</v>
      </c>
      <c r="F254" s="2" t="s">
        <v>19</v>
      </c>
    </row>
    <row r="255" spans="1:6" x14ac:dyDescent="0.3">
      <c r="A255" s="2">
        <f t="shared" si="6"/>
        <v>2023</v>
      </c>
      <c r="B255" s="2" t="s">
        <v>5</v>
      </c>
      <c r="C255" s="27">
        <v>44958</v>
      </c>
      <c r="D255" s="2">
        <f t="shared" si="7"/>
        <v>2</v>
      </c>
      <c r="E255" s="28">
        <v>1381.1</v>
      </c>
      <c r="F255" s="2" t="s">
        <v>19</v>
      </c>
    </row>
    <row r="256" spans="1:6" x14ac:dyDescent="0.3">
      <c r="A256" s="2">
        <f t="shared" si="6"/>
        <v>2023</v>
      </c>
      <c r="B256" s="2" t="s">
        <v>6</v>
      </c>
      <c r="C256" s="27">
        <v>44986</v>
      </c>
      <c r="D256" s="2">
        <f t="shared" si="7"/>
        <v>3</v>
      </c>
      <c r="E256" s="28">
        <v>1665.8</v>
      </c>
      <c r="F256" s="2" t="s">
        <v>19</v>
      </c>
    </row>
    <row r="257" spans="1:6" x14ac:dyDescent="0.3">
      <c r="A257" s="2">
        <f t="shared" si="6"/>
        <v>2023</v>
      </c>
      <c r="B257" s="2" t="s">
        <v>7</v>
      </c>
      <c r="C257" s="27">
        <v>45017</v>
      </c>
      <c r="D257" s="2">
        <f t="shared" si="7"/>
        <v>4</v>
      </c>
      <c r="E257" s="28">
        <v>1551.4</v>
      </c>
      <c r="F257" s="2" t="s">
        <v>19</v>
      </c>
    </row>
    <row r="258" spans="1:6" x14ac:dyDescent="0.3">
      <c r="A258" s="2">
        <f t="shared" si="6"/>
        <v>2023</v>
      </c>
      <c r="B258" s="2" t="s">
        <v>8</v>
      </c>
      <c r="C258" s="27">
        <v>45047</v>
      </c>
      <c r="D258" s="2">
        <f t="shared" si="7"/>
        <v>5</v>
      </c>
      <c r="E258" s="28">
        <v>1811.9</v>
      </c>
      <c r="F258" s="2" t="s">
        <v>19</v>
      </c>
    </row>
    <row r="259" spans="1:6" x14ac:dyDescent="0.3">
      <c r="A259" s="2">
        <f t="shared" si="6"/>
        <v>2023</v>
      </c>
      <c r="B259" s="2" t="s">
        <v>9</v>
      </c>
      <c r="C259" s="27">
        <v>45078</v>
      </c>
      <c r="D259" s="2">
        <f t="shared" si="7"/>
        <v>6</v>
      </c>
      <c r="E259" s="28">
        <v>1861.3</v>
      </c>
      <c r="F259" s="2" t="s">
        <v>19</v>
      </c>
    </row>
    <row r="260" spans="1:6" x14ac:dyDescent="0.3">
      <c r="A260" s="2">
        <f t="shared" si="6"/>
        <v>2023</v>
      </c>
      <c r="B260" s="2" t="s">
        <v>10</v>
      </c>
      <c r="C260" s="27">
        <v>45108</v>
      </c>
      <c r="D260" s="2">
        <f t="shared" si="7"/>
        <v>7</v>
      </c>
      <c r="E260" s="28">
        <v>1642.9</v>
      </c>
      <c r="F260" s="2" t="s">
        <v>19</v>
      </c>
    </row>
    <row r="261" spans="1:6" x14ac:dyDescent="0.3">
      <c r="A261" s="2">
        <f t="shared" si="6"/>
        <v>2023</v>
      </c>
      <c r="B261" s="2" t="s">
        <v>11</v>
      </c>
      <c r="C261" s="27">
        <v>45139</v>
      </c>
      <c r="D261" s="2">
        <f t="shared" si="7"/>
        <v>8</v>
      </c>
      <c r="E261" s="28">
        <v>1773.4</v>
      </c>
      <c r="F261" s="2" t="s">
        <v>19</v>
      </c>
    </row>
    <row r="262" spans="1:6" x14ac:dyDescent="0.3">
      <c r="A262" s="2">
        <f t="shared" si="6"/>
        <v>2023</v>
      </c>
      <c r="B262" s="2" t="s">
        <v>12</v>
      </c>
      <c r="C262" s="27">
        <v>45170</v>
      </c>
      <c r="D262" s="2">
        <f t="shared" si="7"/>
        <v>9</v>
      </c>
      <c r="E262" s="28">
        <v>1699.5</v>
      </c>
      <c r="F262" s="2" t="s">
        <v>19</v>
      </c>
    </row>
    <row r="263" spans="1:6" x14ac:dyDescent="0.3">
      <c r="A263" s="2">
        <f t="shared" si="6"/>
        <v>2023</v>
      </c>
      <c r="B263" s="2" t="s">
        <v>13</v>
      </c>
      <c r="C263" s="27">
        <v>45200</v>
      </c>
      <c r="D263" s="2">
        <f t="shared" si="7"/>
        <v>10</v>
      </c>
      <c r="E263" s="28">
        <v>1650.7</v>
      </c>
      <c r="F263" s="2" t="s">
        <v>19</v>
      </c>
    </row>
    <row r="264" spans="1:6" x14ac:dyDescent="0.3">
      <c r="A264" s="2">
        <f t="shared" si="6"/>
        <v>2023</v>
      </c>
      <c r="B264" s="2" t="s">
        <v>14</v>
      </c>
      <c r="C264" s="27">
        <v>45231</v>
      </c>
      <c r="D264" s="2">
        <f t="shared" si="7"/>
        <v>11</v>
      </c>
      <c r="E264" s="28">
        <v>1614.6</v>
      </c>
      <c r="F264" s="2" t="s">
        <v>19</v>
      </c>
    </row>
    <row r="265" spans="1:6" x14ac:dyDescent="0.3">
      <c r="A265" s="2">
        <f t="shared" si="6"/>
        <v>2023</v>
      </c>
      <c r="B265" s="2" t="s">
        <v>15</v>
      </c>
      <c r="C265" s="27">
        <v>45261</v>
      </c>
      <c r="D265" s="2">
        <f t="shared" si="7"/>
        <v>12</v>
      </c>
      <c r="E265" s="28">
        <v>1765</v>
      </c>
      <c r="F265" s="2" t="s">
        <v>19</v>
      </c>
    </row>
    <row r="266" spans="1:6" x14ac:dyDescent="0.3">
      <c r="A266" s="2">
        <f t="shared" si="6"/>
        <v>2024</v>
      </c>
      <c r="B266" s="2" t="s">
        <v>4</v>
      </c>
      <c r="C266" s="27">
        <v>45292</v>
      </c>
      <c r="D266" s="2">
        <f t="shared" si="7"/>
        <v>1</v>
      </c>
      <c r="E266" s="28">
        <v>1468</v>
      </c>
      <c r="F266" s="2" t="s">
        <v>19</v>
      </c>
    </row>
    <row r="267" spans="1:6" x14ac:dyDescent="0.3">
      <c r="A267" s="2">
        <f t="shared" si="6"/>
        <v>2024</v>
      </c>
      <c r="B267" s="2" t="s">
        <v>5</v>
      </c>
      <c r="C267" s="27">
        <v>45323</v>
      </c>
      <c r="D267" s="2">
        <f t="shared" si="7"/>
        <v>2</v>
      </c>
      <c r="E267" s="28">
        <v>1527.9</v>
      </c>
      <c r="F267" s="2" t="s">
        <v>19</v>
      </c>
    </row>
    <row r="268" spans="1:6" x14ac:dyDescent="0.3">
      <c r="A268" s="2">
        <f t="shared" si="6"/>
        <v>2024</v>
      </c>
      <c r="B268" s="2" t="s">
        <v>6</v>
      </c>
      <c r="C268" s="27">
        <v>45352</v>
      </c>
      <c r="D268" s="2">
        <f t="shared" si="7"/>
        <v>3</v>
      </c>
      <c r="E268" s="28">
        <v>1686.6</v>
      </c>
      <c r="F268" s="2" t="s">
        <v>19</v>
      </c>
    </row>
    <row r="269" spans="1:6" x14ac:dyDescent="0.3">
      <c r="A269" s="32">
        <f t="shared" si="6"/>
        <v>2024</v>
      </c>
      <c r="B269" s="32" t="s">
        <v>7</v>
      </c>
      <c r="C269" s="33">
        <v>45383</v>
      </c>
      <c r="D269" s="32">
        <f t="shared" si="7"/>
        <v>4</v>
      </c>
      <c r="E269" s="34">
        <v>1848.1</v>
      </c>
      <c r="F269" s="32">
        <v>1725.19</v>
      </c>
    </row>
    <row r="270" spans="1:6" x14ac:dyDescent="0.3">
      <c r="A270" s="32">
        <f t="shared" si="6"/>
        <v>2024</v>
      </c>
      <c r="B270" s="32" t="s">
        <v>8</v>
      </c>
      <c r="C270" s="33">
        <v>45413</v>
      </c>
      <c r="D270" s="32">
        <f t="shared" si="7"/>
        <v>5</v>
      </c>
      <c r="E270" s="34">
        <v>1980.1</v>
      </c>
      <c r="F270" s="32">
        <v>1868.5</v>
      </c>
    </row>
    <row r="271" spans="1:6" x14ac:dyDescent="0.3">
      <c r="A271" s="32">
        <f t="shared" ref="A271:A290" si="8">+A259+1</f>
        <v>2024</v>
      </c>
      <c r="B271" s="32" t="s">
        <v>9</v>
      </c>
      <c r="C271" s="33">
        <v>45444</v>
      </c>
      <c r="D271" s="32">
        <f t="shared" ref="D271:D290" si="9">+D259</f>
        <v>6</v>
      </c>
      <c r="E271" s="34">
        <v>1760.6</v>
      </c>
      <c r="F271" s="32">
        <v>1887.65</v>
      </c>
    </row>
    <row r="272" spans="1:6" x14ac:dyDescent="0.3">
      <c r="A272" s="32">
        <f t="shared" si="8"/>
        <v>2024</v>
      </c>
      <c r="B272" s="32" t="s">
        <v>10</v>
      </c>
      <c r="C272" s="33">
        <v>45474</v>
      </c>
      <c r="D272" s="32">
        <f t="shared" si="9"/>
        <v>7</v>
      </c>
      <c r="E272" s="34">
        <v>1819</v>
      </c>
      <c r="F272" s="32">
        <v>1840.73</v>
      </c>
    </row>
    <row r="273" spans="1:6" x14ac:dyDescent="0.3">
      <c r="A273" s="32">
        <f t="shared" si="8"/>
        <v>2024</v>
      </c>
      <c r="B273" s="32" t="s">
        <v>11</v>
      </c>
      <c r="C273" s="33">
        <v>45505</v>
      </c>
      <c r="D273" s="32">
        <f t="shared" si="9"/>
        <v>8</v>
      </c>
      <c r="E273" s="34">
        <v>2020.6</v>
      </c>
      <c r="F273" s="32">
        <v>1902.59</v>
      </c>
    </row>
    <row r="274" spans="1:6" x14ac:dyDescent="0.3">
      <c r="A274" s="32">
        <f t="shared" si="8"/>
        <v>2024</v>
      </c>
      <c r="B274" s="32" t="s">
        <v>12</v>
      </c>
      <c r="C274" s="33">
        <v>45536</v>
      </c>
      <c r="D274" s="32">
        <f t="shared" si="9"/>
        <v>9</v>
      </c>
      <c r="E274" s="34">
        <v>1724.1</v>
      </c>
      <c r="F274" s="32">
        <v>1799.99</v>
      </c>
    </row>
    <row r="275" spans="1:6" x14ac:dyDescent="0.3">
      <c r="A275" s="32">
        <f t="shared" si="8"/>
        <v>2024</v>
      </c>
      <c r="B275" s="32" t="s">
        <v>13</v>
      </c>
      <c r="C275" s="33">
        <v>45566</v>
      </c>
      <c r="D275" s="32">
        <f t="shared" si="9"/>
        <v>10</v>
      </c>
      <c r="E275" s="34">
        <v>2000.4</v>
      </c>
      <c r="F275" s="32">
        <v>1879.96</v>
      </c>
    </row>
    <row r="276" spans="1:6" x14ac:dyDescent="0.3">
      <c r="A276" s="32">
        <f t="shared" si="8"/>
        <v>2024</v>
      </c>
      <c r="B276" s="32" t="s">
        <v>14</v>
      </c>
      <c r="C276" s="33">
        <v>45597</v>
      </c>
      <c r="D276" s="32">
        <f t="shared" si="9"/>
        <v>11</v>
      </c>
      <c r="E276" s="34">
        <v>1734</v>
      </c>
      <c r="F276" s="32">
        <v>1731.84</v>
      </c>
    </row>
    <row r="277" spans="1:6" x14ac:dyDescent="0.3">
      <c r="A277" s="32">
        <f t="shared" si="8"/>
        <v>2024</v>
      </c>
      <c r="B277" s="32" t="s">
        <v>15</v>
      </c>
      <c r="C277" s="33">
        <v>45627</v>
      </c>
      <c r="D277" s="32">
        <f t="shared" si="9"/>
        <v>12</v>
      </c>
      <c r="E277" s="34">
        <v>1940.8</v>
      </c>
      <c r="F277" s="32">
        <v>1905.96</v>
      </c>
    </row>
    <row r="278" spans="1:6" x14ac:dyDescent="0.3">
      <c r="A278" s="32">
        <f t="shared" si="8"/>
        <v>2025</v>
      </c>
      <c r="B278" s="32" t="s">
        <v>4</v>
      </c>
      <c r="C278" s="33">
        <v>45658</v>
      </c>
      <c r="D278" s="32">
        <f t="shared" si="9"/>
        <v>1</v>
      </c>
      <c r="E278" s="34">
        <v>1817.6</v>
      </c>
      <c r="F278" s="32">
        <v>1619.98</v>
      </c>
    </row>
    <row r="279" spans="1:6" x14ac:dyDescent="0.3">
      <c r="A279" s="32">
        <f t="shared" si="8"/>
        <v>2025</v>
      </c>
      <c r="B279" s="32" t="s">
        <v>5</v>
      </c>
      <c r="C279" s="33">
        <v>45689</v>
      </c>
      <c r="D279" s="32">
        <f t="shared" si="9"/>
        <v>2</v>
      </c>
      <c r="E279" s="34">
        <v>1821.4</v>
      </c>
      <c r="F279" s="32">
        <v>1674.07</v>
      </c>
    </row>
    <row r="280" spans="1:6" x14ac:dyDescent="0.3">
      <c r="A280" s="32">
        <f t="shared" si="8"/>
        <v>2025</v>
      </c>
      <c r="B280" s="32" t="s">
        <v>6</v>
      </c>
      <c r="C280" s="33">
        <v>45717</v>
      </c>
      <c r="D280" s="32">
        <f t="shared" si="9"/>
        <v>3</v>
      </c>
      <c r="E280" s="34">
        <v>2003.7</v>
      </c>
      <c r="F280" s="32">
        <v>1930.56</v>
      </c>
    </row>
    <row r="281" spans="1:6" x14ac:dyDescent="0.3">
      <c r="A281" s="29">
        <f t="shared" si="8"/>
        <v>2025</v>
      </c>
      <c r="B281" s="29" t="s">
        <v>7</v>
      </c>
      <c r="C281" s="30">
        <v>45748</v>
      </c>
      <c r="D281" s="29">
        <f t="shared" si="9"/>
        <v>4</v>
      </c>
      <c r="E281" s="31">
        <v>1984.6</v>
      </c>
      <c r="F281" s="29" t="s">
        <v>19</v>
      </c>
    </row>
    <row r="282" spans="1:6" x14ac:dyDescent="0.3">
      <c r="A282" s="29">
        <f t="shared" si="8"/>
        <v>2025</v>
      </c>
      <c r="B282" s="29" t="s">
        <v>8</v>
      </c>
      <c r="C282" s="30">
        <v>45778</v>
      </c>
      <c r="D282" s="29">
        <f t="shared" si="9"/>
        <v>5</v>
      </c>
      <c r="E282" s="31">
        <v>2281.1</v>
      </c>
      <c r="F282" s="29" t="s">
        <v>19</v>
      </c>
    </row>
    <row r="283" spans="1:6" x14ac:dyDescent="0.3">
      <c r="A283" s="29">
        <f t="shared" si="8"/>
        <v>2025</v>
      </c>
      <c r="B283" s="29" t="s">
        <v>9</v>
      </c>
      <c r="C283" s="30">
        <v>45809</v>
      </c>
      <c r="D283" s="29">
        <f t="shared" si="9"/>
        <v>6</v>
      </c>
      <c r="E283" s="31">
        <v>2219.3000000000002</v>
      </c>
      <c r="F283" s="29" t="s">
        <v>19</v>
      </c>
    </row>
    <row r="284" spans="1:6" x14ac:dyDescent="0.3">
      <c r="A284" s="29">
        <f t="shared" si="8"/>
        <v>2025</v>
      </c>
      <c r="B284" s="29" t="s">
        <v>10</v>
      </c>
      <c r="C284" s="30">
        <v>45839</v>
      </c>
      <c r="D284" s="29">
        <f t="shared" si="9"/>
        <v>7</v>
      </c>
      <c r="E284" s="31">
        <v>2366</v>
      </c>
      <c r="F284" s="29" t="s">
        <v>19</v>
      </c>
    </row>
    <row r="285" spans="1:6" x14ac:dyDescent="0.3">
      <c r="A285" s="29">
        <f t="shared" si="8"/>
        <v>2025</v>
      </c>
      <c r="B285" s="29" t="s">
        <v>11</v>
      </c>
      <c r="C285" s="30">
        <v>45870</v>
      </c>
      <c r="D285" s="29">
        <f t="shared" si="9"/>
        <v>8</v>
      </c>
      <c r="E285" s="31">
        <v>2368</v>
      </c>
      <c r="F285" s="29" t="s">
        <v>19</v>
      </c>
    </row>
    <row r="286" spans="1:6" x14ac:dyDescent="0.3">
      <c r="A286" s="29">
        <f t="shared" si="8"/>
        <v>2025</v>
      </c>
      <c r="B286" s="29" t="s">
        <v>12</v>
      </c>
      <c r="C286" s="30">
        <v>45901</v>
      </c>
      <c r="D286" s="29">
        <f t="shared" si="9"/>
        <v>9</v>
      </c>
      <c r="E286" s="31">
        <v>2106.6999999999998</v>
      </c>
      <c r="F286" s="29" t="s">
        <v>19</v>
      </c>
    </row>
    <row r="287" spans="1:6" x14ac:dyDescent="0.3">
      <c r="A287" s="29">
        <f t="shared" si="8"/>
        <v>2025</v>
      </c>
      <c r="B287" s="29" t="s">
        <v>13</v>
      </c>
      <c r="C287" s="30">
        <v>45931</v>
      </c>
      <c r="D287" s="29">
        <f t="shared" si="9"/>
        <v>10</v>
      </c>
      <c r="E287" s="31">
        <v>2390</v>
      </c>
      <c r="F287" s="29" t="s">
        <v>19</v>
      </c>
    </row>
    <row r="288" spans="1:6" x14ac:dyDescent="0.3">
      <c r="A288" s="29">
        <f t="shared" si="8"/>
        <v>2025</v>
      </c>
      <c r="B288" s="29" t="s">
        <v>14</v>
      </c>
      <c r="C288" s="30">
        <v>45962</v>
      </c>
      <c r="D288" s="29">
        <f t="shared" si="9"/>
        <v>11</v>
      </c>
      <c r="E288" s="31">
        <v>1930.6</v>
      </c>
      <c r="F288" s="29" t="s">
        <v>19</v>
      </c>
    </row>
    <row r="289" spans="1:6" x14ac:dyDescent="0.3">
      <c r="A289" s="29">
        <f t="shared" si="8"/>
        <v>2025</v>
      </c>
      <c r="B289" s="29" t="s">
        <v>15</v>
      </c>
      <c r="C289" s="30">
        <v>45992</v>
      </c>
      <c r="D289" s="29">
        <f t="shared" si="9"/>
        <v>12</v>
      </c>
      <c r="E289" s="31">
        <v>2241.3000000000002</v>
      </c>
      <c r="F289" s="29" t="s">
        <v>19</v>
      </c>
    </row>
    <row r="290" spans="1:6" x14ac:dyDescent="0.3">
      <c r="A290" s="29">
        <f t="shared" si="8"/>
        <v>2026</v>
      </c>
      <c r="B290" s="29" t="s">
        <v>4</v>
      </c>
      <c r="C290" s="30">
        <v>46023</v>
      </c>
      <c r="D290" s="29">
        <f t="shared" si="9"/>
        <v>1</v>
      </c>
      <c r="E290" s="31">
        <v>1954.7</v>
      </c>
      <c r="F290" s="29" t="s">
        <v>19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18B7-79EB-4333-9662-6F138B4AFCA0}">
  <dimension ref="B2:N16"/>
  <sheetViews>
    <sheetView workbookViewId="0">
      <selection activeCell="B2" sqref="B2:N16"/>
    </sheetView>
  </sheetViews>
  <sheetFormatPr baseColWidth="10" defaultRowHeight="14.4" x14ac:dyDescent="0.3"/>
  <cols>
    <col min="1" max="1" width="11.5546875" style="1"/>
    <col min="2" max="2" width="9.5546875" style="1" customWidth="1"/>
    <col min="3" max="4" width="11.5546875" style="1"/>
    <col min="5" max="5" width="12.5546875" style="1" bestFit="1" customWidth="1"/>
    <col min="6" max="6" width="11.5546875" style="1"/>
    <col min="7" max="14" width="13.109375" style="1" customWidth="1"/>
    <col min="15" max="16384" width="11.5546875" style="1"/>
  </cols>
  <sheetData>
    <row r="2" spans="2:14" ht="21" x14ac:dyDescent="0.4">
      <c r="B2" s="12" t="s">
        <v>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2:14" ht="28.8" x14ac:dyDescent="0.3">
      <c r="B3" s="5" t="s">
        <v>0</v>
      </c>
      <c r="C3" s="5" t="s">
        <v>1</v>
      </c>
      <c r="D3" s="7" t="s">
        <v>21</v>
      </c>
      <c r="E3" s="6" t="s">
        <v>22</v>
      </c>
      <c r="F3" s="7" t="s">
        <v>23</v>
      </c>
      <c r="G3" s="10" t="s">
        <v>25</v>
      </c>
      <c r="H3" s="11" t="s">
        <v>23</v>
      </c>
      <c r="I3" s="10" t="s">
        <v>26</v>
      </c>
      <c r="J3" s="11" t="s">
        <v>23</v>
      </c>
      <c r="K3" s="10" t="s">
        <v>27</v>
      </c>
      <c r="L3" s="11" t="s">
        <v>23</v>
      </c>
      <c r="M3" s="10" t="s">
        <v>28</v>
      </c>
      <c r="N3" s="10" t="s">
        <v>23</v>
      </c>
    </row>
    <row r="4" spans="2:14" x14ac:dyDescent="0.3">
      <c r="B4" s="4">
        <v>2024</v>
      </c>
      <c r="C4" s="3" t="s">
        <v>7</v>
      </c>
      <c r="D4" s="9">
        <v>1848.1</v>
      </c>
      <c r="E4" s="8">
        <v>1725.19</v>
      </c>
      <c r="F4" s="9">
        <f>+D4-E4</f>
        <v>122.90999999999985</v>
      </c>
      <c r="G4" s="3">
        <v>1265.31</v>
      </c>
      <c r="H4" s="9">
        <f>+$D4-G4</f>
        <v>582.79</v>
      </c>
      <c r="I4" s="3">
        <v>1204.73</v>
      </c>
      <c r="J4" s="9">
        <f>+$D4-I4</f>
        <v>643.36999999999989</v>
      </c>
      <c r="K4" s="3">
        <v>1704.91</v>
      </c>
      <c r="L4" s="9">
        <f>+$D4-K4</f>
        <v>143.18999999999983</v>
      </c>
      <c r="M4" s="3">
        <v>1209.17</v>
      </c>
      <c r="N4" s="9">
        <f>+$D4-M4</f>
        <v>638.92999999999984</v>
      </c>
    </row>
    <row r="5" spans="2:14" x14ac:dyDescent="0.3">
      <c r="B5" s="4"/>
      <c r="C5" s="3" t="s">
        <v>8</v>
      </c>
      <c r="D5" s="9">
        <v>1980.1</v>
      </c>
      <c r="E5" s="8">
        <v>1868.5</v>
      </c>
      <c r="F5" s="9">
        <f t="shared" ref="F5:F15" si="0">+D5-E5</f>
        <v>111.59999999999991</v>
      </c>
      <c r="G5" s="3">
        <v>1270.28</v>
      </c>
      <c r="H5" s="9">
        <f t="shared" ref="H5:J15" si="1">+$D5-G5</f>
        <v>709.81999999999994</v>
      </c>
      <c r="I5" s="3">
        <v>1209.57</v>
      </c>
      <c r="J5" s="9">
        <f t="shared" si="1"/>
        <v>770.53</v>
      </c>
      <c r="K5" s="3">
        <v>1857.84</v>
      </c>
      <c r="L5" s="9">
        <f t="shared" ref="L5" si="2">+$D5-K5</f>
        <v>122.25999999999999</v>
      </c>
      <c r="M5" s="3">
        <v>1312.37</v>
      </c>
      <c r="N5" s="9">
        <f t="shared" ref="N5" si="3">+$D5-M5</f>
        <v>667.73</v>
      </c>
    </row>
    <row r="6" spans="2:14" x14ac:dyDescent="0.3">
      <c r="B6" s="4"/>
      <c r="C6" s="3" t="s">
        <v>9</v>
      </c>
      <c r="D6" s="9">
        <v>1760.6</v>
      </c>
      <c r="E6" s="8">
        <v>1887.65</v>
      </c>
      <c r="F6" s="9">
        <f t="shared" si="0"/>
        <v>-127.05000000000018</v>
      </c>
      <c r="G6" s="3">
        <v>1275.26</v>
      </c>
      <c r="H6" s="9">
        <f t="shared" si="1"/>
        <v>485.33999999999992</v>
      </c>
      <c r="I6" s="3">
        <v>1214.42</v>
      </c>
      <c r="J6" s="9">
        <f t="shared" si="1"/>
        <v>546.17999999999984</v>
      </c>
      <c r="K6" s="3">
        <v>1877.54</v>
      </c>
      <c r="L6" s="9">
        <f t="shared" ref="L6" si="4">+$D6-K6</f>
        <v>-116.94000000000005</v>
      </c>
      <c r="M6" s="3">
        <v>1329.27</v>
      </c>
      <c r="N6" s="9">
        <f t="shared" ref="N6" si="5">+$D6-M6</f>
        <v>431.32999999999993</v>
      </c>
    </row>
    <row r="7" spans="2:14" x14ac:dyDescent="0.3">
      <c r="B7" s="4"/>
      <c r="C7" s="3" t="s">
        <v>10</v>
      </c>
      <c r="D7" s="9">
        <v>1819</v>
      </c>
      <c r="E7" s="8">
        <v>1840.73</v>
      </c>
      <c r="F7" s="9">
        <f t="shared" si="0"/>
        <v>-21.730000000000018</v>
      </c>
      <c r="G7" s="3">
        <v>1280.24</v>
      </c>
      <c r="H7" s="9">
        <f t="shared" si="1"/>
        <v>538.76</v>
      </c>
      <c r="I7" s="3">
        <v>1219.26</v>
      </c>
      <c r="J7" s="9">
        <f t="shared" si="1"/>
        <v>599.74</v>
      </c>
      <c r="K7" s="3">
        <v>1810.52</v>
      </c>
      <c r="L7" s="9">
        <f t="shared" ref="L7" si="6">+$D7-K7</f>
        <v>8.4800000000000182</v>
      </c>
      <c r="M7" s="3">
        <v>1297.7</v>
      </c>
      <c r="N7" s="9">
        <f t="shared" ref="N7" si="7">+$D7-M7</f>
        <v>521.29999999999995</v>
      </c>
    </row>
    <row r="8" spans="2:14" x14ac:dyDescent="0.3">
      <c r="B8" s="4"/>
      <c r="C8" s="3" t="s">
        <v>11</v>
      </c>
      <c r="D8" s="9">
        <v>2020.6</v>
      </c>
      <c r="E8" s="8">
        <v>1902.59</v>
      </c>
      <c r="F8" s="9">
        <f t="shared" si="0"/>
        <v>118.00999999999999</v>
      </c>
      <c r="G8" s="3">
        <v>1285.22</v>
      </c>
      <c r="H8" s="9">
        <f t="shared" si="1"/>
        <v>735.37999999999988</v>
      </c>
      <c r="I8" s="3">
        <v>1224.0999999999999</v>
      </c>
      <c r="J8" s="9">
        <f t="shared" si="1"/>
        <v>796.5</v>
      </c>
      <c r="K8" s="3">
        <v>1897.69</v>
      </c>
      <c r="L8" s="9">
        <f t="shared" ref="L8" si="8">+$D8-K8</f>
        <v>122.90999999999985</v>
      </c>
      <c r="M8" s="3">
        <v>1360.81</v>
      </c>
      <c r="N8" s="9">
        <f t="shared" ref="N8" si="9">+$D8-M8</f>
        <v>659.79</v>
      </c>
    </row>
    <row r="9" spans="2:14" x14ac:dyDescent="0.3">
      <c r="B9" s="4"/>
      <c r="C9" s="3" t="s">
        <v>12</v>
      </c>
      <c r="D9" s="9">
        <v>1724.1</v>
      </c>
      <c r="E9" s="8">
        <v>1799.99</v>
      </c>
      <c r="F9" s="9">
        <f t="shared" si="0"/>
        <v>-75.8900000000001</v>
      </c>
      <c r="G9" s="3">
        <v>1290.2</v>
      </c>
      <c r="H9" s="9">
        <f t="shared" si="1"/>
        <v>433.89999999999986</v>
      </c>
      <c r="I9" s="3">
        <v>1228.94</v>
      </c>
      <c r="J9" s="9">
        <f t="shared" si="1"/>
        <v>495.15999999999985</v>
      </c>
      <c r="K9" s="3">
        <v>1785.49</v>
      </c>
      <c r="L9" s="9">
        <f t="shared" ref="L9" si="10">+$D9-K9</f>
        <v>-61.3900000000001</v>
      </c>
      <c r="M9" s="3">
        <v>1292.76</v>
      </c>
      <c r="N9" s="9">
        <f t="shared" ref="N9" si="11">+$D9-M9</f>
        <v>431.33999999999992</v>
      </c>
    </row>
    <row r="10" spans="2:14" x14ac:dyDescent="0.3">
      <c r="B10" s="4"/>
      <c r="C10" s="3" t="s">
        <v>13</v>
      </c>
      <c r="D10" s="9">
        <v>2000.4</v>
      </c>
      <c r="E10" s="8">
        <v>1879.96</v>
      </c>
      <c r="F10" s="9">
        <f t="shared" si="0"/>
        <v>120.44000000000005</v>
      </c>
      <c r="G10" s="3">
        <v>1295.18</v>
      </c>
      <c r="H10" s="9">
        <f t="shared" si="1"/>
        <v>705.22</v>
      </c>
      <c r="I10" s="3">
        <v>1233.79</v>
      </c>
      <c r="J10" s="9">
        <f t="shared" si="1"/>
        <v>766.61000000000013</v>
      </c>
      <c r="K10" s="3">
        <v>1881.15</v>
      </c>
      <c r="L10" s="9">
        <f t="shared" ref="L10" si="12">+$D10-K10</f>
        <v>119.25</v>
      </c>
      <c r="M10" s="3">
        <v>1376.53</v>
      </c>
      <c r="N10" s="9">
        <f t="shared" ref="N10" si="13">+$D10-M10</f>
        <v>623.87000000000012</v>
      </c>
    </row>
    <row r="11" spans="2:14" x14ac:dyDescent="0.3">
      <c r="B11" s="4"/>
      <c r="C11" s="3" t="s">
        <v>14</v>
      </c>
      <c r="D11" s="9">
        <v>1734</v>
      </c>
      <c r="E11" s="8">
        <v>1731.84</v>
      </c>
      <c r="F11" s="9">
        <f t="shared" si="0"/>
        <v>2.1600000000000819</v>
      </c>
      <c r="G11" s="3">
        <v>1300.1500000000001</v>
      </c>
      <c r="H11" s="9">
        <f t="shared" si="1"/>
        <v>433.84999999999991</v>
      </c>
      <c r="I11" s="3">
        <v>1238.6300000000001</v>
      </c>
      <c r="J11" s="9">
        <f t="shared" si="1"/>
        <v>495.36999999999989</v>
      </c>
      <c r="K11" s="3">
        <v>1695.11</v>
      </c>
      <c r="L11" s="9">
        <f t="shared" ref="L11" si="14">+$D11-K11</f>
        <v>38.8900000000001</v>
      </c>
      <c r="M11" s="3">
        <v>1246.27</v>
      </c>
      <c r="N11" s="9">
        <f t="shared" ref="N11" si="15">+$D11-M11</f>
        <v>487.73</v>
      </c>
    </row>
    <row r="12" spans="2:14" x14ac:dyDescent="0.3">
      <c r="B12" s="4"/>
      <c r="C12" s="3" t="s">
        <v>15</v>
      </c>
      <c r="D12" s="9">
        <v>1940.8</v>
      </c>
      <c r="E12" s="8">
        <v>1905.96</v>
      </c>
      <c r="F12" s="9">
        <f t="shared" si="0"/>
        <v>34.839999999999918</v>
      </c>
      <c r="G12" s="3">
        <v>1305.1300000000001</v>
      </c>
      <c r="H12" s="9">
        <f t="shared" si="1"/>
        <v>635.66999999999985</v>
      </c>
      <c r="I12" s="3">
        <v>1243.47</v>
      </c>
      <c r="J12" s="9">
        <f t="shared" si="1"/>
        <v>697.32999999999993</v>
      </c>
      <c r="K12" s="3">
        <v>1890.83</v>
      </c>
      <c r="L12" s="9">
        <f t="shared" ref="L12" si="16">+$D12-K12</f>
        <v>49.970000000000027</v>
      </c>
      <c r="M12" s="3">
        <v>1398.48</v>
      </c>
      <c r="N12" s="9">
        <f t="shared" ref="N12" si="17">+$D12-M12</f>
        <v>542.31999999999994</v>
      </c>
    </row>
    <row r="13" spans="2:14" x14ac:dyDescent="0.3">
      <c r="B13" s="13">
        <v>2025</v>
      </c>
      <c r="C13" s="8" t="s">
        <v>4</v>
      </c>
      <c r="D13" s="9">
        <v>1817.6</v>
      </c>
      <c r="E13" s="8">
        <v>1619.98</v>
      </c>
      <c r="F13" s="9">
        <f t="shared" si="0"/>
        <v>197.61999999999989</v>
      </c>
      <c r="G13" s="8">
        <v>1310.1099999999999</v>
      </c>
      <c r="H13" s="9">
        <f t="shared" si="1"/>
        <v>507.49</v>
      </c>
      <c r="I13" s="8">
        <v>1248.31</v>
      </c>
      <c r="J13" s="9">
        <f t="shared" si="1"/>
        <v>569.29</v>
      </c>
      <c r="K13" s="8">
        <v>1565.55</v>
      </c>
      <c r="L13" s="9">
        <f t="shared" ref="L13" si="18">+$D13-K13</f>
        <v>252.04999999999995</v>
      </c>
      <c r="M13" s="8">
        <v>1138.5899999999999</v>
      </c>
      <c r="N13" s="9">
        <f t="shared" ref="N13" si="19">+$D13-M13</f>
        <v>679.01</v>
      </c>
    </row>
    <row r="14" spans="2:14" x14ac:dyDescent="0.3">
      <c r="B14" s="13"/>
      <c r="C14" s="8" t="s">
        <v>5</v>
      </c>
      <c r="D14" s="9">
        <v>1821.4</v>
      </c>
      <c r="E14" s="8">
        <v>1674.07</v>
      </c>
      <c r="F14" s="9">
        <f t="shared" si="0"/>
        <v>147.33000000000015</v>
      </c>
      <c r="G14" s="8">
        <v>1315.09</v>
      </c>
      <c r="H14" s="9">
        <f t="shared" si="1"/>
        <v>506.31000000000017</v>
      </c>
      <c r="I14" s="8">
        <v>1253.1500000000001</v>
      </c>
      <c r="J14" s="9">
        <f t="shared" si="1"/>
        <v>568.25</v>
      </c>
      <c r="K14" s="8">
        <v>1602.89</v>
      </c>
      <c r="L14" s="9">
        <f t="shared" ref="L14" si="20">+$D14-K14</f>
        <v>218.51</v>
      </c>
      <c r="M14" s="8">
        <v>1172.72</v>
      </c>
      <c r="N14" s="9">
        <f t="shared" ref="N14" si="21">+$D14-M14</f>
        <v>648.68000000000006</v>
      </c>
    </row>
    <row r="15" spans="2:14" ht="15" thickBot="1" x14ac:dyDescent="0.35">
      <c r="B15" s="14"/>
      <c r="C15" s="15" t="s">
        <v>6</v>
      </c>
      <c r="D15" s="16">
        <v>2003.7</v>
      </c>
      <c r="E15" s="15">
        <v>1930.56</v>
      </c>
      <c r="F15" s="16">
        <f t="shared" si="0"/>
        <v>73.1400000000001</v>
      </c>
      <c r="G15" s="15">
        <v>1320.07</v>
      </c>
      <c r="H15" s="16">
        <f t="shared" si="1"/>
        <v>683.63000000000011</v>
      </c>
      <c r="I15" s="15">
        <v>1258</v>
      </c>
      <c r="J15" s="16">
        <f t="shared" si="1"/>
        <v>745.7</v>
      </c>
      <c r="K15" s="15">
        <v>1892.4</v>
      </c>
      <c r="L15" s="16">
        <f t="shared" ref="L15" si="22">+$D15-K15</f>
        <v>111.29999999999995</v>
      </c>
      <c r="M15" s="15">
        <v>1387.85</v>
      </c>
      <c r="N15" s="16">
        <f t="shared" ref="N15" si="23">+$D15-M15</f>
        <v>615.85000000000014</v>
      </c>
    </row>
    <row r="16" spans="2:14" ht="16.2" thickTop="1" x14ac:dyDescent="0.3">
      <c r="B16" s="17" t="s">
        <v>24</v>
      </c>
      <c r="C16" s="18"/>
      <c r="D16" s="19"/>
      <c r="E16" s="20" cm="1">
        <f t="array" ref="E16">SQRT(AVERAGE((F4:F15)^2))</f>
        <v>110.18715646571519</v>
      </c>
      <c r="F16" s="21"/>
      <c r="G16" s="20" cm="1">
        <f t="array" ref="G16">SQRT(AVERAGE((H4:H15)^2))</f>
        <v>589.43773610959113</v>
      </c>
      <c r="H16" s="21"/>
      <c r="I16" s="20" cm="1">
        <f t="array" ref="I16">SQRT(AVERAGE((J4:J15)^2))</f>
        <v>649.84978314863918</v>
      </c>
      <c r="J16" s="21"/>
      <c r="K16" s="20" cm="1">
        <f t="array" ref="K16">SQRT(AVERAGE((L4:L15)^2))</f>
        <v>132.27712891249692</v>
      </c>
      <c r="L16" s="21"/>
      <c r="M16" s="20" cm="1">
        <f t="array" ref="M16">SQRT(AVERAGE((N4:N15)^2))</f>
        <v>585.63271009510163</v>
      </c>
      <c r="N16" s="21"/>
    </row>
  </sheetData>
  <mergeCells count="8">
    <mergeCell ref="M16:N16"/>
    <mergeCell ref="B4:B12"/>
    <mergeCell ref="B13:B15"/>
    <mergeCell ref="E16:F16"/>
    <mergeCell ref="B2:N2"/>
    <mergeCell ref="G16:H16"/>
    <mergeCell ref="I16:J16"/>
    <mergeCell ref="K16:L16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36F45-B6B1-4BF4-B05C-7A5C37FF21CF}">
  <dimension ref="B2:Z62"/>
  <sheetViews>
    <sheetView tabSelected="1" topLeftCell="E33" workbookViewId="0">
      <selection activeCell="M51" sqref="M51"/>
    </sheetView>
  </sheetViews>
  <sheetFormatPr baseColWidth="10" defaultRowHeight="14.4" x14ac:dyDescent="0.3"/>
  <cols>
    <col min="1" max="1" width="11.5546875" style="1"/>
    <col min="2" max="26" width="18.5546875" style="1" customWidth="1"/>
    <col min="27" max="16384" width="11.5546875" style="1"/>
  </cols>
  <sheetData>
    <row r="2" spans="2:26" ht="21" x14ac:dyDescent="0.4">
      <c r="B2" s="36" t="s">
        <v>36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2:26" x14ac:dyDescent="0.3">
      <c r="B3" s="5" t="s">
        <v>0</v>
      </c>
      <c r="C3" s="5" t="s">
        <v>1</v>
      </c>
      <c r="D3" s="7" t="s">
        <v>21</v>
      </c>
      <c r="E3" s="6" t="s">
        <v>37</v>
      </c>
      <c r="F3" s="7" t="s">
        <v>23</v>
      </c>
      <c r="G3" s="6" t="s">
        <v>38</v>
      </c>
      <c r="H3" s="11" t="s">
        <v>23</v>
      </c>
      <c r="I3" s="6" t="s">
        <v>39</v>
      </c>
      <c r="J3" s="11" t="s">
        <v>23</v>
      </c>
      <c r="K3" s="6" t="s">
        <v>40</v>
      </c>
      <c r="L3" s="11" t="s">
        <v>23</v>
      </c>
      <c r="M3" s="6" t="s">
        <v>42</v>
      </c>
      <c r="N3" s="10" t="s">
        <v>23</v>
      </c>
      <c r="O3" s="6" t="s">
        <v>43</v>
      </c>
      <c r="P3" s="10" t="s">
        <v>23</v>
      </c>
      <c r="Q3" s="6" t="s">
        <v>44</v>
      </c>
      <c r="R3" s="10" t="s">
        <v>23</v>
      </c>
      <c r="S3" s="6" t="s">
        <v>45</v>
      </c>
      <c r="T3" s="10" t="s">
        <v>23</v>
      </c>
      <c r="U3" s="6" t="s">
        <v>46</v>
      </c>
      <c r="V3" s="10" t="s">
        <v>23</v>
      </c>
      <c r="W3" s="6" t="s">
        <v>47</v>
      </c>
      <c r="X3" s="10" t="s">
        <v>23</v>
      </c>
      <c r="Y3" s="6" t="s">
        <v>48</v>
      </c>
      <c r="Z3" s="10" t="s">
        <v>23</v>
      </c>
    </row>
    <row r="4" spans="2:26" x14ac:dyDescent="0.3">
      <c r="B4" s="4">
        <v>2024</v>
      </c>
      <c r="C4" s="3" t="s">
        <v>7</v>
      </c>
      <c r="D4" s="9">
        <v>1848.1</v>
      </c>
      <c r="E4" s="8">
        <f>+SUMIF($D$18:$O$18,E$3,$D19:$O19)</f>
        <v>1255.57</v>
      </c>
      <c r="F4" s="9">
        <f>+D4-E4</f>
        <v>592.53</v>
      </c>
      <c r="G4" s="8">
        <f>+SUMIF($D$18:$O$18,G$3,$D19:$O19)</f>
        <v>1247.1500000000001</v>
      </c>
      <c r="H4" s="9">
        <f>+$D4-G4</f>
        <v>600.94999999999982</v>
      </c>
      <c r="I4" s="8">
        <f>+SUMIF($D$18:$O$18,I$3,$D19:$O19)</f>
        <v>1237.51</v>
      </c>
      <c r="J4" s="9">
        <f>+$D4-I4</f>
        <v>610.58999999999992</v>
      </c>
      <c r="K4" s="8">
        <f>+SUMIF($D$18:$O$18,K$3,$D19:$O19)</f>
        <v>1227.24</v>
      </c>
      <c r="L4" s="9">
        <f>+$D4-K4</f>
        <v>620.8599999999999</v>
      </c>
      <c r="M4" s="8">
        <f>+SUMIF($D$18:$O$18,M$3,$D19:$O19)</f>
        <v>1204.73</v>
      </c>
      <c r="N4" s="9">
        <f>+$D4-M4</f>
        <v>643.36999999999989</v>
      </c>
      <c r="O4" s="8">
        <f>+SUMIF($D$18:$O$18,O$3,$D19:$O19)</f>
        <v>1193.32</v>
      </c>
      <c r="P4" s="9">
        <f>+$D4-O4</f>
        <v>654.78</v>
      </c>
      <c r="Q4" s="8">
        <f>+SUMIF($D$18:$O$18,Q$3,$D19:$O19)</f>
        <v>1182.56</v>
      </c>
      <c r="R4" s="9">
        <f>+$D4-Q4</f>
        <v>665.54</v>
      </c>
      <c r="S4" s="8">
        <f>+SUMIF($D$18:$O$18,S$3,$D19:$O19)</f>
        <v>1171.8699999999999</v>
      </c>
      <c r="T4" s="9">
        <f>+$D4-S4</f>
        <v>676.23</v>
      </c>
      <c r="U4" s="8">
        <f>+SUMIF($D$18:$O$18,U$3,$D19:$O19)</f>
        <v>1160.96</v>
      </c>
      <c r="V4" s="9">
        <f>+$D4-U4</f>
        <v>687.13999999999987</v>
      </c>
      <c r="W4" s="8">
        <f>+SUMIF($D$18:$O$18,W$3,$D19:$O19)</f>
        <v>1149.98</v>
      </c>
      <c r="X4" s="9">
        <f>+$D4-W4</f>
        <v>698.11999999999989</v>
      </c>
      <c r="Y4" s="8">
        <f>+SUMIF($D$18:$O$18,Y$3,$D19:$O19)</f>
        <v>1138.75</v>
      </c>
      <c r="Z4" s="9">
        <f>+$D4-Y4</f>
        <v>709.34999999999991</v>
      </c>
    </row>
    <row r="5" spans="2:26" x14ac:dyDescent="0.3">
      <c r="B5" s="4"/>
      <c r="C5" s="3" t="s">
        <v>8</v>
      </c>
      <c r="D5" s="9">
        <v>1980.1</v>
      </c>
      <c r="E5" s="8">
        <f>+SUMIF($D$18:$O$18,E$3,$D20:$O20)</f>
        <v>1260.53</v>
      </c>
      <c r="F5" s="9">
        <f t="shared" ref="F5:F15" si="0">+D5-E5</f>
        <v>719.56999999999994</v>
      </c>
      <c r="G5" s="8">
        <f>+SUMIF($D$18:$O$18,G$3,$D20:$O20)</f>
        <v>1252.0999999999999</v>
      </c>
      <c r="H5" s="9">
        <f t="shared" ref="H5:J15" si="1">+$D5-G5</f>
        <v>728</v>
      </c>
      <c r="I5" s="8">
        <f>+SUMIF($D$18:$O$18,I$3,$D20:$O20)</f>
        <v>1242.43</v>
      </c>
      <c r="J5" s="9">
        <f t="shared" si="1"/>
        <v>737.66999999999985</v>
      </c>
      <c r="K5" s="8">
        <f>+SUMIF($D$18:$O$18,K$3,$D20:$O20)</f>
        <v>1232.1400000000001</v>
      </c>
      <c r="L5" s="9">
        <f t="shared" ref="L5:L15" si="2">+$D5-K5</f>
        <v>747.95999999999981</v>
      </c>
      <c r="M5" s="8">
        <f>+SUMIF($D$18:$O$18,M$3,$D20:$O20)</f>
        <v>1209.57</v>
      </c>
      <c r="N5" s="9">
        <f t="shared" ref="N5:P15" si="3">+$D5-M5</f>
        <v>770.53</v>
      </c>
      <c r="O5" s="8">
        <f>+SUMIF($D$18:$O$18,O$3,$D20:$O20)</f>
        <v>1198.1300000000001</v>
      </c>
      <c r="P5" s="9">
        <f t="shared" si="3"/>
        <v>781.9699999999998</v>
      </c>
      <c r="Q5" s="8">
        <f>+SUMIF($D$18:$O$18,Q$3,$D20:$O20)</f>
        <v>1187.3399999999999</v>
      </c>
      <c r="R5" s="9">
        <f t="shared" ref="R5" si="4">+$D5-Q5</f>
        <v>792.76</v>
      </c>
      <c r="S5" s="8">
        <f>+SUMIF($D$18:$O$18,S$3,$D20:$O20)</f>
        <v>1176.6199999999999</v>
      </c>
      <c r="T5" s="9">
        <f t="shared" ref="T5" si="5">+$D5-S5</f>
        <v>803.48</v>
      </c>
      <c r="U5" s="8">
        <f>+SUMIF($D$18:$O$18,U$3,$D20:$O20)</f>
        <v>1165.69</v>
      </c>
      <c r="V5" s="9">
        <f t="shared" ref="V5" si="6">+$D5-U5</f>
        <v>814.40999999999985</v>
      </c>
      <c r="W5" s="8">
        <f>+SUMIF($D$18:$O$18,W$3,$D20:$O20)</f>
        <v>1154.68</v>
      </c>
      <c r="X5" s="9">
        <f t="shared" ref="X5:Z5" si="7">+$D5-W5</f>
        <v>825.41999999999985</v>
      </c>
      <c r="Y5" s="8">
        <f>+SUMIF($D$18:$O$18,Y$3,$D20:$O20)</f>
        <v>1143.42</v>
      </c>
      <c r="Z5" s="9">
        <f t="shared" si="7"/>
        <v>836.67999999999984</v>
      </c>
    </row>
    <row r="6" spans="2:26" x14ac:dyDescent="0.3">
      <c r="B6" s="4"/>
      <c r="C6" s="3" t="s">
        <v>9</v>
      </c>
      <c r="D6" s="9">
        <v>1760.6</v>
      </c>
      <c r="E6" s="8">
        <f>+SUMIF($D$18:$O$18,E$3,$D21:$O21)</f>
        <v>1265.49</v>
      </c>
      <c r="F6" s="9">
        <f t="shared" si="0"/>
        <v>495.1099999999999</v>
      </c>
      <c r="G6" s="8">
        <f>+SUMIF($D$18:$O$18,G$3,$D21:$O21)</f>
        <v>1257.04</v>
      </c>
      <c r="H6" s="9">
        <f t="shared" si="1"/>
        <v>503.55999999999995</v>
      </c>
      <c r="I6" s="8">
        <f>+SUMIF($D$18:$O$18,I$3,$D21:$O21)</f>
        <v>1247.3599999999999</v>
      </c>
      <c r="J6" s="9">
        <f t="shared" si="1"/>
        <v>513.24</v>
      </c>
      <c r="K6" s="8">
        <f>+SUMIF($D$18:$O$18,K$3,$D21:$O21)</f>
        <v>1237.04</v>
      </c>
      <c r="L6" s="9">
        <f t="shared" si="2"/>
        <v>523.55999999999995</v>
      </c>
      <c r="M6" s="8">
        <f>+SUMIF($D$18:$O$18,M$3,$D21:$O21)</f>
        <v>1214.42</v>
      </c>
      <c r="N6" s="9">
        <f t="shared" si="3"/>
        <v>546.17999999999984</v>
      </c>
      <c r="O6" s="8">
        <f>+SUMIF($D$18:$O$18,O$3,$D21:$O21)</f>
        <v>1202.94</v>
      </c>
      <c r="P6" s="9">
        <f t="shared" si="3"/>
        <v>557.65999999999985</v>
      </c>
      <c r="Q6" s="8">
        <f>+SUMIF($D$18:$O$18,Q$3,$D21:$O21)</f>
        <v>1192.1199999999999</v>
      </c>
      <c r="R6" s="9">
        <f t="shared" ref="R6" si="8">+$D6-Q6</f>
        <v>568.48</v>
      </c>
      <c r="S6" s="8">
        <f>+SUMIF($D$18:$O$18,S$3,$D21:$O21)</f>
        <v>1181.3800000000001</v>
      </c>
      <c r="T6" s="9">
        <f t="shared" ref="T6" si="9">+$D6-S6</f>
        <v>579.2199999999998</v>
      </c>
      <c r="U6" s="8">
        <f>+SUMIF($D$18:$O$18,U$3,$D21:$O21)</f>
        <v>1170.4100000000001</v>
      </c>
      <c r="V6" s="9">
        <f t="shared" ref="V6" si="10">+$D6-U6</f>
        <v>590.18999999999983</v>
      </c>
      <c r="W6" s="8">
        <f>+SUMIF($D$18:$O$18,W$3,$D21:$O21)</f>
        <v>1159.3699999999999</v>
      </c>
      <c r="X6" s="9">
        <f t="shared" ref="X6:Z6" si="11">+$D6-W6</f>
        <v>601.23</v>
      </c>
      <c r="Y6" s="8">
        <f>+SUMIF($D$18:$O$18,Y$3,$D21:$O21)</f>
        <v>1148.08</v>
      </c>
      <c r="Z6" s="9">
        <f t="shared" si="11"/>
        <v>612.52</v>
      </c>
    </row>
    <row r="7" spans="2:26" x14ac:dyDescent="0.3">
      <c r="B7" s="4"/>
      <c r="C7" s="3" t="s">
        <v>10</v>
      </c>
      <c r="D7" s="9">
        <v>1819</v>
      </c>
      <c r="E7" s="8">
        <f>+SUMIF($D$18:$O$18,E$3,$D22:$O22)</f>
        <v>1270.45</v>
      </c>
      <c r="F7" s="9">
        <f t="shared" si="0"/>
        <v>548.54999999999995</v>
      </c>
      <c r="G7" s="8">
        <f>+SUMIF($D$18:$O$18,G$3,$D22:$O22)</f>
        <v>1261.99</v>
      </c>
      <c r="H7" s="9">
        <f t="shared" si="1"/>
        <v>557.01</v>
      </c>
      <c r="I7" s="8">
        <f>+SUMIF($D$18:$O$18,I$3,$D22:$O22)</f>
        <v>1252.28</v>
      </c>
      <c r="J7" s="9">
        <f t="shared" si="1"/>
        <v>566.72</v>
      </c>
      <c r="K7" s="8">
        <f>+SUMIF($D$18:$O$18,K$3,$D22:$O22)</f>
        <v>1241.95</v>
      </c>
      <c r="L7" s="9">
        <f t="shared" si="2"/>
        <v>577.04999999999995</v>
      </c>
      <c r="M7" s="8">
        <f>+SUMIF($D$18:$O$18,M$3,$D22:$O22)</f>
        <v>1219.26</v>
      </c>
      <c r="N7" s="9">
        <f t="shared" si="3"/>
        <v>599.74</v>
      </c>
      <c r="O7" s="8">
        <f>+SUMIF($D$18:$O$18,O$3,$D22:$O22)</f>
        <v>1207.75</v>
      </c>
      <c r="P7" s="9">
        <f t="shared" si="3"/>
        <v>611.25</v>
      </c>
      <c r="Q7" s="8">
        <f>+SUMIF($D$18:$O$18,Q$3,$D22:$O22)</f>
        <v>1196.9100000000001</v>
      </c>
      <c r="R7" s="9">
        <f t="shared" ref="R7" si="12">+$D7-Q7</f>
        <v>622.08999999999992</v>
      </c>
      <c r="S7" s="8">
        <f>+SUMIF($D$18:$O$18,S$3,$D22:$O22)</f>
        <v>1186.1300000000001</v>
      </c>
      <c r="T7" s="9">
        <f t="shared" ref="T7" si="13">+$D7-S7</f>
        <v>632.86999999999989</v>
      </c>
      <c r="U7" s="8">
        <f>+SUMIF($D$18:$O$18,U$3,$D22:$O22)</f>
        <v>1175.1400000000001</v>
      </c>
      <c r="V7" s="9">
        <f t="shared" ref="V7" si="14">+$D7-U7</f>
        <v>643.8599999999999</v>
      </c>
      <c r="W7" s="8">
        <f>+SUMIF($D$18:$O$18,W$3,$D22:$O22)</f>
        <v>1164.07</v>
      </c>
      <c r="X7" s="9">
        <f t="shared" ref="X7:Z7" si="15">+$D7-W7</f>
        <v>654.93000000000006</v>
      </c>
      <c r="Y7" s="8">
        <f>+SUMIF($D$18:$O$18,Y$3,$D22:$O22)</f>
        <v>1152.74</v>
      </c>
      <c r="Z7" s="9">
        <f t="shared" si="15"/>
        <v>666.26</v>
      </c>
    </row>
    <row r="8" spans="2:26" x14ac:dyDescent="0.3">
      <c r="B8" s="4"/>
      <c r="C8" s="3" t="s">
        <v>11</v>
      </c>
      <c r="D8" s="9">
        <v>2020.6</v>
      </c>
      <c r="E8" s="8">
        <f>+SUMIF($D$18:$O$18,E$3,$D23:$O23)</f>
        <v>1275.4000000000001</v>
      </c>
      <c r="F8" s="9">
        <f t="shared" si="0"/>
        <v>745.19999999999982</v>
      </c>
      <c r="G8" s="8">
        <f>+SUMIF($D$18:$O$18,G$3,$D23:$O23)</f>
        <v>1266.93</v>
      </c>
      <c r="H8" s="9">
        <f t="shared" si="1"/>
        <v>753.66999999999985</v>
      </c>
      <c r="I8" s="8">
        <f>+SUMIF($D$18:$O$18,I$3,$D23:$O23)</f>
        <v>1257.21</v>
      </c>
      <c r="J8" s="9">
        <f t="shared" si="1"/>
        <v>763.38999999999987</v>
      </c>
      <c r="K8" s="8">
        <f>+SUMIF($D$18:$O$18,K$3,$D23:$O23)</f>
        <v>1246.8499999999999</v>
      </c>
      <c r="L8" s="9">
        <f t="shared" si="2"/>
        <v>773.75</v>
      </c>
      <c r="M8" s="8">
        <f>+SUMIF($D$18:$O$18,M$3,$D23:$O23)</f>
        <v>1224.0999999999999</v>
      </c>
      <c r="N8" s="9">
        <f t="shared" si="3"/>
        <v>796.5</v>
      </c>
      <c r="O8" s="8">
        <f>+SUMIF($D$18:$O$18,O$3,$D23:$O23)</f>
        <v>1212.57</v>
      </c>
      <c r="P8" s="9">
        <f t="shared" si="3"/>
        <v>808.03</v>
      </c>
      <c r="Q8" s="8">
        <f>+SUMIF($D$18:$O$18,Q$3,$D23:$O23)</f>
        <v>1201.69</v>
      </c>
      <c r="R8" s="9">
        <f t="shared" ref="R8" si="16">+$D8-Q8</f>
        <v>818.90999999999985</v>
      </c>
      <c r="S8" s="8">
        <f>+SUMIF($D$18:$O$18,S$3,$D23:$O23)</f>
        <v>1190.8900000000001</v>
      </c>
      <c r="T8" s="9">
        <f t="shared" ref="T8" si="17">+$D8-S8</f>
        <v>829.70999999999981</v>
      </c>
      <c r="U8" s="8">
        <f>+SUMIF($D$18:$O$18,U$3,$D23:$O23)</f>
        <v>1179.8599999999999</v>
      </c>
      <c r="V8" s="9">
        <f t="shared" ref="V8" si="18">+$D8-U8</f>
        <v>840.74</v>
      </c>
      <c r="W8" s="8">
        <f>+SUMIF($D$18:$O$18,W$3,$D23:$O23)</f>
        <v>1168.76</v>
      </c>
      <c r="X8" s="9">
        <f t="shared" ref="X8:Z8" si="19">+$D8-W8</f>
        <v>851.83999999999992</v>
      </c>
      <c r="Y8" s="8">
        <f>+SUMIF($D$18:$O$18,Y$3,$D23:$O23)</f>
        <v>1157.4000000000001</v>
      </c>
      <c r="Z8" s="9">
        <f t="shared" si="19"/>
        <v>863.19999999999982</v>
      </c>
    </row>
    <row r="9" spans="2:26" x14ac:dyDescent="0.3">
      <c r="B9" s="4"/>
      <c r="C9" s="3" t="s">
        <v>12</v>
      </c>
      <c r="D9" s="9">
        <v>1724.1</v>
      </c>
      <c r="E9" s="8">
        <f>+SUMIF($D$18:$O$18,E$3,$D24:$O24)</f>
        <v>1280.3599999999999</v>
      </c>
      <c r="F9" s="9">
        <f t="shared" si="0"/>
        <v>443.74</v>
      </c>
      <c r="G9" s="8">
        <f>+SUMIF($D$18:$O$18,G$3,$D24:$O24)</f>
        <v>1271.8800000000001</v>
      </c>
      <c r="H9" s="9">
        <f t="shared" si="1"/>
        <v>452.2199999999998</v>
      </c>
      <c r="I9" s="8">
        <f>+SUMIF($D$18:$O$18,I$3,$D24:$O24)</f>
        <v>1262.1300000000001</v>
      </c>
      <c r="J9" s="9">
        <f t="shared" si="1"/>
        <v>461.9699999999998</v>
      </c>
      <c r="K9" s="8">
        <f>+SUMIF($D$18:$O$18,K$3,$D24:$O24)</f>
        <v>1251.75</v>
      </c>
      <c r="L9" s="9">
        <f t="shared" si="2"/>
        <v>472.34999999999991</v>
      </c>
      <c r="M9" s="8">
        <f>+SUMIF($D$18:$O$18,M$3,$D24:$O24)</f>
        <v>1228.94</v>
      </c>
      <c r="N9" s="9">
        <f t="shared" si="3"/>
        <v>495.15999999999985</v>
      </c>
      <c r="O9" s="8">
        <f>+SUMIF($D$18:$O$18,O$3,$D24:$O24)</f>
        <v>1217.3800000000001</v>
      </c>
      <c r="P9" s="9">
        <f t="shared" si="3"/>
        <v>506.7199999999998</v>
      </c>
      <c r="Q9" s="8">
        <f>+SUMIF($D$18:$O$18,Q$3,$D24:$O24)</f>
        <v>1206.47</v>
      </c>
      <c r="R9" s="9">
        <f t="shared" ref="R9" si="20">+$D9-Q9</f>
        <v>517.62999999999988</v>
      </c>
      <c r="S9" s="8">
        <f>+SUMIF($D$18:$O$18,S$3,$D24:$O24)</f>
        <v>1195.6500000000001</v>
      </c>
      <c r="T9" s="9">
        <f t="shared" ref="T9" si="21">+$D9-S9</f>
        <v>528.44999999999982</v>
      </c>
      <c r="U9" s="8">
        <f>+SUMIF($D$18:$O$18,U$3,$D24:$O24)</f>
        <v>1184.5899999999999</v>
      </c>
      <c r="V9" s="9">
        <f t="shared" ref="V9" si="22">+$D9-U9</f>
        <v>539.51</v>
      </c>
      <c r="W9" s="8">
        <f>+SUMIF($D$18:$O$18,W$3,$D24:$O24)</f>
        <v>1173.46</v>
      </c>
      <c r="X9" s="9">
        <f>+$D9-W9</f>
        <v>550.63999999999987</v>
      </c>
      <c r="Y9" s="8">
        <f>+SUMIF($D$18:$O$18,Y$3,$D24:$O24)</f>
        <v>1162.06</v>
      </c>
      <c r="Z9" s="9">
        <f t="shared" ref="Z9" si="23">+$D9-Y9</f>
        <v>562.04</v>
      </c>
    </row>
    <row r="10" spans="2:26" x14ac:dyDescent="0.3">
      <c r="B10" s="4"/>
      <c r="C10" s="3" t="s">
        <v>13</v>
      </c>
      <c r="D10" s="9">
        <v>2000.4</v>
      </c>
      <c r="E10" s="8">
        <f>+SUMIF($D$18:$O$18,E$3,$D25:$O25)</f>
        <v>1285.32</v>
      </c>
      <c r="F10" s="9">
        <f t="shared" si="0"/>
        <v>715.08000000000015</v>
      </c>
      <c r="G10" s="8">
        <f>+SUMIF($D$18:$O$18,G$3,$D25:$O25)</f>
        <v>1276.82</v>
      </c>
      <c r="H10" s="9">
        <f t="shared" si="1"/>
        <v>723.58000000000015</v>
      </c>
      <c r="I10" s="8">
        <f>+SUMIF($D$18:$O$18,I$3,$D25:$O25)</f>
        <v>1267.06</v>
      </c>
      <c r="J10" s="9">
        <f t="shared" si="1"/>
        <v>733.34000000000015</v>
      </c>
      <c r="K10" s="8">
        <f>+SUMIF($D$18:$O$18,K$3,$D25:$O25)</f>
        <v>1256.6500000000001</v>
      </c>
      <c r="L10" s="9">
        <f t="shared" si="2"/>
        <v>743.75</v>
      </c>
      <c r="M10" s="8">
        <f>+SUMIF($D$18:$O$18,M$3,$D25:$O25)</f>
        <v>1233.79</v>
      </c>
      <c r="N10" s="9">
        <f t="shared" si="3"/>
        <v>766.61000000000013</v>
      </c>
      <c r="O10" s="8">
        <f>+SUMIF($D$18:$O$18,O$3,$D25:$O25)</f>
        <v>1222.19</v>
      </c>
      <c r="P10" s="9">
        <f t="shared" si="3"/>
        <v>778.21</v>
      </c>
      <c r="Q10" s="8">
        <f>+SUMIF($D$18:$O$18,Q$3,$D25:$O25)</f>
        <v>1211.26</v>
      </c>
      <c r="R10" s="9">
        <f t="shared" ref="R10" si="24">+$D10-Q10</f>
        <v>789.1400000000001</v>
      </c>
      <c r="S10" s="8">
        <f>+SUMIF($D$18:$O$18,S$3,$D25:$O25)</f>
        <v>1200.4000000000001</v>
      </c>
      <c r="T10" s="9">
        <f t="shared" ref="T10" si="25">+$D10-S10</f>
        <v>800</v>
      </c>
      <c r="U10" s="8">
        <f>+SUMIF($D$18:$O$18,U$3,$D25:$O25)</f>
        <v>1189.32</v>
      </c>
      <c r="V10" s="9">
        <f t="shared" ref="V10" si="26">+$D10-U10</f>
        <v>811.08000000000015</v>
      </c>
      <c r="W10" s="8">
        <f>+SUMIF($D$18:$O$18,W$3,$D25:$O25)</f>
        <v>1178.1500000000001</v>
      </c>
      <c r="X10" s="9">
        <f t="shared" ref="X10:Z10" si="27">+$D10-W10</f>
        <v>822.25</v>
      </c>
      <c r="Y10" s="8">
        <f>+SUMIF($D$18:$O$18,Y$3,$D25:$O25)</f>
        <v>1166.73</v>
      </c>
      <c r="Z10" s="9">
        <f t="shared" si="27"/>
        <v>833.67000000000007</v>
      </c>
    </row>
    <row r="11" spans="2:26" x14ac:dyDescent="0.3">
      <c r="B11" s="4"/>
      <c r="C11" s="3" t="s">
        <v>14</v>
      </c>
      <c r="D11" s="9">
        <v>1734</v>
      </c>
      <c r="E11" s="8">
        <f>+SUMIF($D$18:$O$18,E$3,$D26:$O26)</f>
        <v>1290.28</v>
      </c>
      <c r="F11" s="9">
        <f t="shared" si="0"/>
        <v>443.72</v>
      </c>
      <c r="G11" s="8">
        <f>+SUMIF($D$18:$O$18,G$3,$D26:$O26)</f>
        <v>1281.77</v>
      </c>
      <c r="H11" s="9">
        <f t="shared" si="1"/>
        <v>452.23</v>
      </c>
      <c r="I11" s="8">
        <f>+SUMIF($D$18:$O$18,I$3,$D26:$O26)</f>
        <v>1271.98</v>
      </c>
      <c r="J11" s="9">
        <f t="shared" si="1"/>
        <v>462.02</v>
      </c>
      <c r="K11" s="8">
        <f>+SUMIF($D$18:$O$18,K$3,$D26:$O26)</f>
        <v>1261.55</v>
      </c>
      <c r="L11" s="9">
        <f t="shared" si="2"/>
        <v>472.45000000000005</v>
      </c>
      <c r="M11" s="8">
        <f>+SUMIF($D$18:$O$18,M$3,$D26:$O26)</f>
        <v>1238.6300000000001</v>
      </c>
      <c r="N11" s="9">
        <f t="shared" si="3"/>
        <v>495.36999999999989</v>
      </c>
      <c r="O11" s="8">
        <f>+SUMIF($D$18:$O$18,O$3,$D26:$O26)</f>
        <v>1227</v>
      </c>
      <c r="P11" s="9">
        <f t="shared" si="3"/>
        <v>507</v>
      </c>
      <c r="Q11" s="8">
        <f>+SUMIF($D$18:$O$18,Q$3,$D26:$O26)</f>
        <v>1216.04</v>
      </c>
      <c r="R11" s="9">
        <f t="shared" ref="R11" si="28">+$D11-Q11</f>
        <v>517.96</v>
      </c>
      <c r="S11" s="8">
        <f>+SUMIF($D$18:$O$18,S$3,$D26:$O26)</f>
        <v>1205.1600000000001</v>
      </c>
      <c r="T11" s="9">
        <f t="shared" ref="T11" si="29">+$D11-S11</f>
        <v>528.83999999999992</v>
      </c>
      <c r="U11" s="8">
        <f>+SUMIF($D$18:$O$18,U$3,$D26:$O26)</f>
        <v>1194.04</v>
      </c>
      <c r="V11" s="9">
        <f t="shared" ref="V11" si="30">+$D11-U11</f>
        <v>539.96</v>
      </c>
      <c r="W11" s="8">
        <f>+SUMIF($D$18:$O$18,W$3,$D26:$O26)</f>
        <v>1182.8499999999999</v>
      </c>
      <c r="X11" s="9">
        <f t="shared" ref="X11:Z11" si="31">+$D11-W11</f>
        <v>551.15000000000009</v>
      </c>
      <c r="Y11" s="8">
        <f>+SUMIF($D$18:$O$18,Y$3,$D26:$O26)</f>
        <v>1171.3900000000001</v>
      </c>
      <c r="Z11" s="9">
        <f t="shared" si="31"/>
        <v>562.6099999999999</v>
      </c>
    </row>
    <row r="12" spans="2:26" x14ac:dyDescent="0.3">
      <c r="B12" s="4"/>
      <c r="C12" s="3" t="s">
        <v>15</v>
      </c>
      <c r="D12" s="9">
        <v>1940.8</v>
      </c>
      <c r="E12" s="8">
        <f>+SUMIF($D$18:$O$18,E$3,$D27:$O27)</f>
        <v>1295.24</v>
      </c>
      <c r="F12" s="9">
        <f t="shared" si="0"/>
        <v>645.55999999999995</v>
      </c>
      <c r="G12" s="8">
        <f>+SUMIF($D$18:$O$18,G$3,$D27:$O27)</f>
        <v>1286.71</v>
      </c>
      <c r="H12" s="9">
        <f t="shared" si="1"/>
        <v>654.08999999999992</v>
      </c>
      <c r="I12" s="8">
        <f>+SUMIF($D$18:$O$18,I$3,$D27:$O27)</f>
        <v>1276.9100000000001</v>
      </c>
      <c r="J12" s="9">
        <f t="shared" si="1"/>
        <v>663.88999999999987</v>
      </c>
      <c r="K12" s="8">
        <f>+SUMIF($D$18:$O$18,K$3,$D27:$O27)</f>
        <v>1266.45</v>
      </c>
      <c r="L12" s="9">
        <f t="shared" si="2"/>
        <v>674.34999999999991</v>
      </c>
      <c r="M12" s="8">
        <f>+SUMIF($D$18:$O$18,M$3,$D27:$O27)</f>
        <v>1243.47</v>
      </c>
      <c r="N12" s="9">
        <f t="shared" si="3"/>
        <v>697.32999999999993</v>
      </c>
      <c r="O12" s="8">
        <f>+SUMIF($D$18:$O$18,O$3,$D27:$O27)</f>
        <v>1231.81</v>
      </c>
      <c r="P12" s="9">
        <f t="shared" si="3"/>
        <v>708.99</v>
      </c>
      <c r="Q12" s="8">
        <f>+SUMIF($D$18:$O$18,Q$3,$D27:$O27)</f>
        <v>1220.82</v>
      </c>
      <c r="R12" s="9">
        <f t="shared" ref="R12" si="32">+$D12-Q12</f>
        <v>719.98</v>
      </c>
      <c r="S12" s="8">
        <f>+SUMIF($D$18:$O$18,S$3,$D27:$O27)</f>
        <v>1209.9100000000001</v>
      </c>
      <c r="T12" s="9">
        <f t="shared" ref="T12" si="33">+$D12-S12</f>
        <v>730.88999999999987</v>
      </c>
      <c r="U12" s="8">
        <f>+SUMIF($D$18:$O$18,U$3,$D27:$O27)</f>
        <v>1198.77</v>
      </c>
      <c r="V12" s="9">
        <f t="shared" ref="V12" si="34">+$D12-U12</f>
        <v>742.03</v>
      </c>
      <c r="W12" s="8">
        <f>+SUMIF($D$18:$O$18,W$3,$D27:$O27)</f>
        <v>1187.54</v>
      </c>
      <c r="X12" s="9">
        <f t="shared" ref="X12:Z12" si="35">+$D12-W12</f>
        <v>753.26</v>
      </c>
      <c r="Y12" s="8">
        <f>+SUMIF($D$18:$O$18,Y$3,$D27:$O27)</f>
        <v>1176.05</v>
      </c>
      <c r="Z12" s="9">
        <f t="shared" si="35"/>
        <v>764.75</v>
      </c>
    </row>
    <row r="13" spans="2:26" x14ac:dyDescent="0.3">
      <c r="B13" s="13">
        <v>2025</v>
      </c>
      <c r="C13" s="8" t="s">
        <v>4</v>
      </c>
      <c r="D13" s="9">
        <v>1817.6</v>
      </c>
      <c r="E13" s="8">
        <f>+SUMIF($D$18:$O$18,E$3,$D28:$O28)</f>
        <v>1300.19</v>
      </c>
      <c r="F13" s="9">
        <f t="shared" si="0"/>
        <v>517.40999999999985</v>
      </c>
      <c r="G13" s="8">
        <f>+SUMIF($D$18:$O$18,G$3,$D28:$O28)</f>
        <v>1291.6600000000001</v>
      </c>
      <c r="H13" s="9">
        <f t="shared" si="1"/>
        <v>525.93999999999983</v>
      </c>
      <c r="I13" s="8">
        <f>+SUMIF($D$18:$O$18,I$3,$D28:$O28)</f>
        <v>1281.83</v>
      </c>
      <c r="J13" s="9">
        <f t="shared" si="1"/>
        <v>535.77</v>
      </c>
      <c r="K13" s="8">
        <f>+SUMIF($D$18:$O$18,K$3,$D28:$O28)</f>
        <v>1271.3499999999999</v>
      </c>
      <c r="L13" s="9">
        <f t="shared" si="2"/>
        <v>546.25</v>
      </c>
      <c r="M13" s="8">
        <f>+SUMIF($D$18:$O$18,M$3,$D28:$O28)</f>
        <v>1248.31</v>
      </c>
      <c r="N13" s="9">
        <f t="shared" si="3"/>
        <v>569.29</v>
      </c>
      <c r="O13" s="8">
        <f>+SUMIF($D$18:$O$18,O$3,$D28:$O28)</f>
        <v>1236.6199999999999</v>
      </c>
      <c r="P13" s="9">
        <f t="shared" si="3"/>
        <v>580.98</v>
      </c>
      <c r="Q13" s="8">
        <f>+SUMIF($D$18:$O$18,Q$3,$D28:$O28)</f>
        <v>1225.6099999999999</v>
      </c>
      <c r="R13" s="9">
        <f t="shared" ref="R13" si="36">+$D13-Q13</f>
        <v>591.99</v>
      </c>
      <c r="S13" s="8">
        <f>+SUMIF($D$18:$O$18,S$3,$D28:$O28)</f>
        <v>1214.67</v>
      </c>
      <c r="T13" s="9">
        <f t="shared" ref="T13" si="37">+$D13-S13</f>
        <v>602.92999999999984</v>
      </c>
      <c r="U13" s="8">
        <f>+SUMIF($D$18:$O$18,U$3,$D28:$O28)</f>
        <v>1203.49</v>
      </c>
      <c r="V13" s="9">
        <f t="shared" ref="V13" si="38">+$D13-U13</f>
        <v>614.1099999999999</v>
      </c>
      <c r="W13" s="8">
        <f>+SUMIF($D$18:$O$18,W$3,$D28:$O28)</f>
        <v>1192.24</v>
      </c>
      <c r="X13" s="9">
        <f t="shared" ref="X13:Z13" si="39">+$D13-W13</f>
        <v>625.3599999999999</v>
      </c>
      <c r="Y13" s="8">
        <f>+SUMIF($D$18:$O$18,Y$3,$D28:$O28)</f>
        <v>1180.71</v>
      </c>
      <c r="Z13" s="9">
        <f t="shared" si="39"/>
        <v>636.88999999999987</v>
      </c>
    </row>
    <row r="14" spans="2:26" x14ac:dyDescent="0.3">
      <c r="B14" s="13"/>
      <c r="C14" s="8" t="s">
        <v>5</v>
      </c>
      <c r="D14" s="9">
        <v>1821.4</v>
      </c>
      <c r="E14" s="8">
        <f>+SUMIF($D$18:$O$18,E$3,$D29:$O29)</f>
        <v>1305.1500000000001</v>
      </c>
      <c r="F14" s="9">
        <f t="shared" si="0"/>
        <v>516.25</v>
      </c>
      <c r="G14" s="8">
        <f>+SUMIF($D$18:$O$18,G$3,$D29:$O29)</f>
        <v>1296.5999999999999</v>
      </c>
      <c r="H14" s="9">
        <f t="shared" si="1"/>
        <v>524.80000000000018</v>
      </c>
      <c r="I14" s="8">
        <f>+SUMIF($D$18:$O$18,I$3,$D29:$O29)</f>
        <v>1286.76</v>
      </c>
      <c r="J14" s="9">
        <f t="shared" si="1"/>
        <v>534.6400000000001</v>
      </c>
      <c r="K14" s="8">
        <f>+SUMIF($D$18:$O$18,K$3,$D29:$O29)</f>
        <v>1276.26</v>
      </c>
      <c r="L14" s="9">
        <f t="shared" si="2"/>
        <v>545.1400000000001</v>
      </c>
      <c r="M14" s="8">
        <f>+SUMIF($D$18:$O$18,M$3,$D29:$O29)</f>
        <v>1253.1500000000001</v>
      </c>
      <c r="N14" s="9">
        <f t="shared" si="3"/>
        <v>568.25</v>
      </c>
      <c r="O14" s="8">
        <f>+SUMIF($D$18:$O$18,O$3,$D29:$O29)</f>
        <v>1241.43</v>
      </c>
      <c r="P14" s="9">
        <f t="shared" si="3"/>
        <v>579.97</v>
      </c>
      <c r="Q14" s="8">
        <f>+SUMIF($D$18:$O$18,Q$3,$D29:$O29)</f>
        <v>1230.3900000000001</v>
      </c>
      <c r="R14" s="9">
        <f t="shared" ref="R14" si="40">+$D14-Q14</f>
        <v>591.01</v>
      </c>
      <c r="S14" s="8">
        <f>+SUMIF($D$18:$O$18,S$3,$D29:$O29)</f>
        <v>1219.42</v>
      </c>
      <c r="T14" s="9">
        <f t="shared" ref="T14" si="41">+$D14-S14</f>
        <v>601.98</v>
      </c>
      <c r="U14" s="8">
        <f>+SUMIF($D$18:$O$18,U$3,$D29:$O29)</f>
        <v>1208.22</v>
      </c>
      <c r="V14" s="9">
        <f t="shared" ref="V14" si="42">+$D14-U14</f>
        <v>613.18000000000006</v>
      </c>
      <c r="W14" s="8">
        <f>+SUMIF($D$18:$O$18,W$3,$D29:$O29)</f>
        <v>1196.93</v>
      </c>
      <c r="X14" s="9">
        <f t="shared" ref="X14:Z14" si="43">+$D14-W14</f>
        <v>624.47</v>
      </c>
      <c r="Y14" s="8">
        <f>+SUMIF($D$18:$O$18,Y$3,$D29:$O29)</f>
        <v>1185.3699999999999</v>
      </c>
      <c r="Z14" s="9">
        <f t="shared" si="43"/>
        <v>636.0300000000002</v>
      </c>
    </row>
    <row r="15" spans="2:26" ht="15" thickBot="1" x14ac:dyDescent="0.35">
      <c r="B15" s="14"/>
      <c r="C15" s="15" t="s">
        <v>6</v>
      </c>
      <c r="D15" s="16">
        <v>2003.7</v>
      </c>
      <c r="E15" s="15">
        <f>+SUMIF($D$18:$O$18,E$3,$D30:$O30)</f>
        <v>1310.1099999999999</v>
      </c>
      <c r="F15" s="16">
        <f t="shared" si="0"/>
        <v>693.59000000000015</v>
      </c>
      <c r="G15" s="15">
        <f>+SUMIF($D$18:$O$18,G$3,$D30:$O30)</f>
        <v>1301.55</v>
      </c>
      <c r="H15" s="16">
        <f t="shared" si="1"/>
        <v>702.15000000000009</v>
      </c>
      <c r="I15" s="15">
        <f>+SUMIF($D$18:$O$18,I$3,$D30:$O30)</f>
        <v>1291.68</v>
      </c>
      <c r="J15" s="16">
        <f t="shared" si="1"/>
        <v>712.02</v>
      </c>
      <c r="K15" s="15">
        <f>+SUMIF($D$18:$O$18,K$3,$D30:$O30)</f>
        <v>1281.1600000000001</v>
      </c>
      <c r="L15" s="16">
        <f t="shared" si="2"/>
        <v>722.54</v>
      </c>
      <c r="M15" s="15">
        <f>+SUMIF($D$18:$O$18,M$3,$D30:$O30)</f>
        <v>1258</v>
      </c>
      <c r="N15" s="16">
        <f t="shared" si="3"/>
        <v>745.7</v>
      </c>
      <c r="O15" s="15">
        <f>+SUMIF($D$18:$O$18,O$3,$D30:$O30)</f>
        <v>1246.24</v>
      </c>
      <c r="P15" s="16">
        <f t="shared" si="3"/>
        <v>757.46</v>
      </c>
      <c r="Q15" s="15">
        <f>+SUMIF($D$18:$O$18,Q$3,$D30:$O30)</f>
        <v>1235.17</v>
      </c>
      <c r="R15" s="16">
        <f t="shared" ref="R15" si="44">+$D15-Q15</f>
        <v>768.53</v>
      </c>
      <c r="S15" s="15">
        <f>+SUMIF($D$18:$O$18,S$3,$D30:$O30)</f>
        <v>1224.18</v>
      </c>
      <c r="T15" s="16">
        <f t="shared" ref="T15" si="45">+$D15-S15</f>
        <v>779.52</v>
      </c>
      <c r="U15" s="15">
        <f>+SUMIF($D$18:$O$18,U$3,$D30:$O30)</f>
        <v>1212.94</v>
      </c>
      <c r="V15" s="16">
        <f t="shared" ref="V15" si="46">+$D15-U15</f>
        <v>790.76</v>
      </c>
      <c r="W15" s="15">
        <f>+SUMIF($D$18:$O$18,W$3,$D30:$O30)</f>
        <v>1201.6300000000001</v>
      </c>
      <c r="X15" s="16">
        <f t="shared" ref="X15:Z15" si="47">+$D15-W15</f>
        <v>802.06999999999994</v>
      </c>
      <c r="Y15" s="15">
        <f>+SUMIF($D$18:$O$18,Y$3,$D30:$O30)</f>
        <v>1190.04</v>
      </c>
      <c r="Z15" s="16">
        <f t="shared" si="47"/>
        <v>813.66000000000008</v>
      </c>
    </row>
    <row r="16" spans="2:26" ht="16.2" thickTop="1" x14ac:dyDescent="0.3">
      <c r="B16" s="17" t="s">
        <v>24</v>
      </c>
      <c r="C16" s="18"/>
      <c r="D16" s="19"/>
      <c r="E16" s="20" cm="1">
        <f t="array" ref="E16">SQRT(AVERAGE((F4:F15)^2))</f>
        <v>599.12511527921549</v>
      </c>
      <c r="F16" s="21"/>
      <c r="G16" s="20" cm="1">
        <f t="array" ref="G16">SQRT(AVERAGE((H4:H15)^2))</f>
        <v>607.48356472966952</v>
      </c>
      <c r="H16" s="21"/>
      <c r="I16" s="20" cm="1">
        <f t="array" ref="I16">SQRT(AVERAGE((J4:J15)^2))</f>
        <v>617.09038215645523</v>
      </c>
      <c r="J16" s="21"/>
      <c r="K16" s="20" cm="1">
        <f t="array" ref="K16">SQRT(AVERAGE((L4:L15)^2))</f>
        <v>627.33353592141611</v>
      </c>
      <c r="L16" s="21"/>
      <c r="M16" s="20" cm="1">
        <f t="array" ref="M16">SQRT(AVERAGE((N4:N15)^2))</f>
        <v>649.84978314863918</v>
      </c>
      <c r="N16" s="21"/>
      <c r="O16" s="20" cm="1">
        <f t="array" ref="O16">SQRT(AVERAGE((P4:P15)^2))</f>
        <v>661.27894037488693</v>
      </c>
      <c r="P16" s="21"/>
      <c r="Q16" s="20" cm="1">
        <f t="array" ref="Q16">SQRT(AVERAGE((R4:R15)^2))</f>
        <v>672.0559770460593</v>
      </c>
      <c r="R16" s="21"/>
      <c r="S16" s="20" cm="1">
        <f t="array" ref="S16">SQRT(AVERAGE((T4:T15)^2))</f>
        <v>682.76358332637119</v>
      </c>
      <c r="T16" s="21"/>
      <c r="U16" s="20" cm="1">
        <f t="array" ref="U16">SQRT(AVERAGE((V4:V15)^2))</f>
        <v>693.70130592472333</v>
      </c>
      <c r="V16" s="21"/>
      <c r="W16" s="20" cm="1">
        <f t="array" ref="W16">SQRT(AVERAGE((X4:X15)^2))</f>
        <v>704.71936091610246</v>
      </c>
      <c r="X16" s="21"/>
      <c r="Y16" s="20" cm="1">
        <f t="array" ref="Y16">SQRT(AVERAGE((Z4:Z15)^2))</f>
        <v>716.00052703658446</v>
      </c>
      <c r="Z16" s="21"/>
    </row>
    <row r="18" spans="2:17" ht="28.8" hidden="1" customHeight="1" x14ac:dyDescent="0.3">
      <c r="B18" s="22" t="s">
        <v>29</v>
      </c>
      <c r="C18" s="22" t="s">
        <v>30</v>
      </c>
      <c r="D18" s="22" t="s">
        <v>37</v>
      </c>
      <c r="E18" s="22" t="s">
        <v>38</v>
      </c>
      <c r="F18" s="22" t="s">
        <v>39</v>
      </c>
      <c r="G18" s="22" t="s">
        <v>40</v>
      </c>
      <c r="H18" s="22" t="s">
        <v>41</v>
      </c>
      <c r="I18" s="22" t="s">
        <v>42</v>
      </c>
      <c r="J18" s="22" t="s">
        <v>43</v>
      </c>
      <c r="K18" s="22" t="s">
        <v>44</v>
      </c>
      <c r="L18" s="22" t="s">
        <v>45</v>
      </c>
      <c r="M18" s="22" t="s">
        <v>46</v>
      </c>
      <c r="N18" s="22" t="s">
        <v>47</v>
      </c>
      <c r="O18" s="22" t="s">
        <v>48</v>
      </c>
    </row>
    <row r="19" spans="2:17" ht="15" hidden="1" customHeight="1" thickBot="1" x14ac:dyDescent="0.35">
      <c r="B19" s="23" t="s">
        <v>32</v>
      </c>
      <c r="C19" s="24">
        <v>1848.1</v>
      </c>
      <c r="D19" s="24">
        <v>1255.57</v>
      </c>
      <c r="E19" s="24">
        <v>1247.1500000000001</v>
      </c>
      <c r="F19" s="24">
        <v>1237.51</v>
      </c>
      <c r="G19" s="24">
        <v>1227.24</v>
      </c>
      <c r="H19" s="24">
        <v>1216.3499999999999</v>
      </c>
      <c r="I19" s="24">
        <v>1204.73</v>
      </c>
      <c r="J19" s="24">
        <v>1193.32</v>
      </c>
      <c r="K19" s="24">
        <v>1182.56</v>
      </c>
      <c r="L19" s="24">
        <v>1171.8699999999999</v>
      </c>
      <c r="M19" s="24">
        <v>1160.96</v>
      </c>
      <c r="N19" s="24">
        <v>1149.98</v>
      </c>
      <c r="O19" s="24">
        <v>1138.75</v>
      </c>
    </row>
    <row r="20" spans="2:17" ht="15" hidden="1" customHeight="1" thickBot="1" x14ac:dyDescent="0.35">
      <c r="B20" s="25">
        <v>45413</v>
      </c>
      <c r="C20" s="24">
        <v>1980.1</v>
      </c>
      <c r="D20" s="24">
        <v>1260.53</v>
      </c>
      <c r="E20" s="24">
        <v>1252.0999999999999</v>
      </c>
      <c r="F20" s="24">
        <v>1242.43</v>
      </c>
      <c r="G20" s="24">
        <v>1232.1400000000001</v>
      </c>
      <c r="H20" s="24">
        <v>1221.23</v>
      </c>
      <c r="I20" s="24">
        <v>1209.57</v>
      </c>
      <c r="J20" s="24">
        <v>1198.1300000000001</v>
      </c>
      <c r="K20" s="24">
        <v>1187.3399999999999</v>
      </c>
      <c r="L20" s="24">
        <v>1176.6199999999999</v>
      </c>
      <c r="M20" s="24">
        <v>1165.69</v>
      </c>
      <c r="N20" s="24">
        <v>1154.68</v>
      </c>
      <c r="O20" s="24">
        <v>1143.42</v>
      </c>
    </row>
    <row r="21" spans="2:17" ht="15" hidden="1" customHeight="1" thickBot="1" x14ac:dyDescent="0.35">
      <c r="B21" s="25">
        <v>45444</v>
      </c>
      <c r="C21" s="24">
        <v>1760.6</v>
      </c>
      <c r="D21" s="24">
        <v>1265.49</v>
      </c>
      <c r="E21" s="24">
        <v>1257.04</v>
      </c>
      <c r="F21" s="24">
        <v>1247.3599999999999</v>
      </c>
      <c r="G21" s="24">
        <v>1237.04</v>
      </c>
      <c r="H21" s="24">
        <v>1226.0999999999999</v>
      </c>
      <c r="I21" s="24">
        <v>1214.42</v>
      </c>
      <c r="J21" s="24">
        <v>1202.94</v>
      </c>
      <c r="K21" s="24">
        <v>1192.1199999999999</v>
      </c>
      <c r="L21" s="24">
        <v>1181.3800000000001</v>
      </c>
      <c r="M21" s="24">
        <v>1170.4100000000001</v>
      </c>
      <c r="N21" s="24">
        <v>1159.3699999999999</v>
      </c>
      <c r="O21" s="24">
        <v>1148.08</v>
      </c>
    </row>
    <row r="22" spans="2:17" ht="15" hidden="1" customHeight="1" thickBot="1" x14ac:dyDescent="0.35">
      <c r="B22" s="25">
        <v>45474</v>
      </c>
      <c r="C22" s="24">
        <v>1819</v>
      </c>
      <c r="D22" s="24">
        <v>1270.45</v>
      </c>
      <c r="E22" s="24">
        <v>1261.99</v>
      </c>
      <c r="F22" s="24">
        <v>1252.28</v>
      </c>
      <c r="G22" s="24">
        <v>1241.95</v>
      </c>
      <c r="H22" s="24">
        <v>1230.97</v>
      </c>
      <c r="I22" s="24">
        <v>1219.26</v>
      </c>
      <c r="J22" s="24">
        <v>1207.75</v>
      </c>
      <c r="K22" s="24">
        <v>1196.9100000000001</v>
      </c>
      <c r="L22" s="24">
        <v>1186.1300000000001</v>
      </c>
      <c r="M22" s="24">
        <v>1175.1400000000001</v>
      </c>
      <c r="N22" s="24">
        <v>1164.07</v>
      </c>
      <c r="O22" s="24">
        <v>1152.74</v>
      </c>
    </row>
    <row r="23" spans="2:17" ht="15" hidden="1" customHeight="1" thickBot="1" x14ac:dyDescent="0.35">
      <c r="B23" s="23" t="s">
        <v>33</v>
      </c>
      <c r="C23" s="24">
        <v>2020.6</v>
      </c>
      <c r="D23" s="24">
        <v>1275.4000000000001</v>
      </c>
      <c r="E23" s="24">
        <v>1266.93</v>
      </c>
      <c r="F23" s="24">
        <v>1257.21</v>
      </c>
      <c r="G23" s="24">
        <v>1246.8499999999999</v>
      </c>
      <c r="H23" s="24">
        <v>1235.8499999999999</v>
      </c>
      <c r="I23" s="24">
        <v>1224.0999999999999</v>
      </c>
      <c r="J23" s="24">
        <v>1212.57</v>
      </c>
      <c r="K23" s="24">
        <v>1201.69</v>
      </c>
      <c r="L23" s="24">
        <v>1190.8900000000001</v>
      </c>
      <c r="M23" s="24">
        <v>1179.8599999999999</v>
      </c>
      <c r="N23" s="24">
        <v>1168.76</v>
      </c>
      <c r="O23" s="24">
        <v>1157.4000000000001</v>
      </c>
    </row>
    <row r="24" spans="2:17" ht="15" hidden="1" customHeight="1" thickBot="1" x14ac:dyDescent="0.35">
      <c r="B24" s="25">
        <v>45536</v>
      </c>
      <c r="C24" s="24">
        <v>1724.1</v>
      </c>
      <c r="D24" s="24">
        <v>1280.3599999999999</v>
      </c>
      <c r="E24" s="24">
        <v>1271.8800000000001</v>
      </c>
      <c r="F24" s="24">
        <v>1262.1300000000001</v>
      </c>
      <c r="G24" s="24">
        <v>1251.75</v>
      </c>
      <c r="H24" s="24">
        <v>1240.72</v>
      </c>
      <c r="I24" s="24">
        <v>1228.94</v>
      </c>
      <c r="J24" s="24">
        <v>1217.3800000000001</v>
      </c>
      <c r="K24" s="24">
        <v>1206.47</v>
      </c>
      <c r="L24" s="24">
        <v>1195.6500000000001</v>
      </c>
      <c r="M24" s="24">
        <v>1184.5899999999999</v>
      </c>
      <c r="N24" s="24">
        <v>1173.46</v>
      </c>
      <c r="O24" s="24">
        <v>1162.06</v>
      </c>
    </row>
    <row r="25" spans="2:17" ht="15" hidden="1" customHeight="1" thickBot="1" x14ac:dyDescent="0.35">
      <c r="B25" s="25">
        <v>45566</v>
      </c>
      <c r="C25" s="24">
        <v>2000.4</v>
      </c>
      <c r="D25" s="24">
        <v>1285.32</v>
      </c>
      <c r="E25" s="24">
        <v>1276.82</v>
      </c>
      <c r="F25" s="24">
        <v>1267.06</v>
      </c>
      <c r="G25" s="24">
        <v>1256.6500000000001</v>
      </c>
      <c r="H25" s="24">
        <v>1245.5999999999999</v>
      </c>
      <c r="I25" s="24">
        <v>1233.79</v>
      </c>
      <c r="J25" s="24">
        <v>1222.19</v>
      </c>
      <c r="K25" s="24">
        <v>1211.26</v>
      </c>
      <c r="L25" s="24">
        <v>1200.4000000000001</v>
      </c>
      <c r="M25" s="24">
        <v>1189.32</v>
      </c>
      <c r="N25" s="24">
        <v>1178.1500000000001</v>
      </c>
      <c r="O25" s="24">
        <v>1166.73</v>
      </c>
    </row>
    <row r="26" spans="2:17" ht="15" hidden="1" customHeight="1" thickBot="1" x14ac:dyDescent="0.35">
      <c r="B26" s="25">
        <v>45597</v>
      </c>
      <c r="C26" s="24">
        <v>1734</v>
      </c>
      <c r="D26" s="24">
        <v>1290.28</v>
      </c>
      <c r="E26" s="24">
        <v>1281.77</v>
      </c>
      <c r="F26" s="24">
        <v>1271.98</v>
      </c>
      <c r="G26" s="24">
        <v>1261.55</v>
      </c>
      <c r="H26" s="24">
        <v>1250.47</v>
      </c>
      <c r="I26" s="24">
        <v>1238.6300000000001</v>
      </c>
      <c r="J26" s="24">
        <v>1227</v>
      </c>
      <c r="K26" s="24">
        <v>1216.04</v>
      </c>
      <c r="L26" s="24">
        <v>1205.1600000000001</v>
      </c>
      <c r="M26" s="24">
        <v>1194.04</v>
      </c>
      <c r="N26" s="24">
        <v>1182.8499999999999</v>
      </c>
      <c r="O26" s="24">
        <v>1171.3900000000001</v>
      </c>
    </row>
    <row r="27" spans="2:17" ht="15" hidden="1" customHeight="1" thickBot="1" x14ac:dyDescent="0.35">
      <c r="B27" s="23" t="s">
        <v>34</v>
      </c>
      <c r="C27" s="24">
        <v>1940.8</v>
      </c>
      <c r="D27" s="24">
        <v>1295.24</v>
      </c>
      <c r="E27" s="24">
        <v>1286.71</v>
      </c>
      <c r="F27" s="24">
        <v>1276.9100000000001</v>
      </c>
      <c r="G27" s="24">
        <v>1266.45</v>
      </c>
      <c r="H27" s="24">
        <v>1255.3499999999999</v>
      </c>
      <c r="I27" s="24">
        <v>1243.47</v>
      </c>
      <c r="J27" s="24">
        <v>1231.81</v>
      </c>
      <c r="K27" s="24">
        <v>1220.82</v>
      </c>
      <c r="L27" s="24">
        <v>1209.9100000000001</v>
      </c>
      <c r="M27" s="24">
        <v>1198.77</v>
      </c>
      <c r="N27" s="24">
        <v>1187.54</v>
      </c>
      <c r="O27" s="24">
        <v>1176.05</v>
      </c>
    </row>
    <row r="28" spans="2:17" ht="15" hidden="1" customHeight="1" thickBot="1" x14ac:dyDescent="0.35">
      <c r="B28" s="23" t="s">
        <v>35</v>
      </c>
      <c r="C28" s="24">
        <v>1817.6</v>
      </c>
      <c r="D28" s="24">
        <v>1300.19</v>
      </c>
      <c r="E28" s="24">
        <v>1291.6600000000001</v>
      </c>
      <c r="F28" s="24">
        <v>1281.83</v>
      </c>
      <c r="G28" s="24">
        <v>1271.3499999999999</v>
      </c>
      <c r="H28" s="24">
        <v>1260.22</v>
      </c>
      <c r="I28" s="24">
        <v>1248.31</v>
      </c>
      <c r="J28" s="24">
        <v>1236.6199999999999</v>
      </c>
      <c r="K28" s="24">
        <v>1225.6099999999999</v>
      </c>
      <c r="L28" s="24">
        <v>1214.67</v>
      </c>
      <c r="M28" s="24">
        <v>1203.49</v>
      </c>
      <c r="N28" s="24">
        <v>1192.24</v>
      </c>
      <c r="O28" s="24">
        <v>1180.71</v>
      </c>
    </row>
    <row r="29" spans="2:17" ht="15" hidden="1" customHeight="1" thickBot="1" x14ac:dyDescent="0.35">
      <c r="B29" s="25">
        <v>45689</v>
      </c>
      <c r="C29" s="24">
        <v>1821.4</v>
      </c>
      <c r="D29" s="24">
        <v>1305.1500000000001</v>
      </c>
      <c r="E29" s="24">
        <v>1296.5999999999999</v>
      </c>
      <c r="F29" s="24">
        <v>1286.76</v>
      </c>
      <c r="G29" s="24">
        <v>1276.26</v>
      </c>
      <c r="H29" s="24">
        <v>1265.0899999999999</v>
      </c>
      <c r="I29" s="24">
        <v>1253.1500000000001</v>
      </c>
      <c r="J29" s="24">
        <v>1241.43</v>
      </c>
      <c r="K29" s="24">
        <v>1230.3900000000001</v>
      </c>
      <c r="L29" s="24">
        <v>1219.42</v>
      </c>
      <c r="M29" s="24">
        <v>1208.22</v>
      </c>
      <c r="N29" s="24">
        <v>1196.93</v>
      </c>
      <c r="O29" s="24">
        <v>1185.3699999999999</v>
      </c>
    </row>
    <row r="30" spans="2:17" ht="15" hidden="1" customHeight="1" thickBot="1" x14ac:dyDescent="0.35">
      <c r="B30" s="25">
        <v>45717</v>
      </c>
      <c r="C30" s="24">
        <v>2003.7</v>
      </c>
      <c r="D30" s="24">
        <v>1310.1099999999999</v>
      </c>
      <c r="E30" s="24">
        <v>1301.55</v>
      </c>
      <c r="F30" s="24">
        <v>1291.68</v>
      </c>
      <c r="G30" s="24">
        <v>1281.1600000000001</v>
      </c>
      <c r="H30" s="24">
        <v>1269.97</v>
      </c>
      <c r="I30" s="24">
        <v>1258</v>
      </c>
      <c r="J30" s="24">
        <v>1246.24</v>
      </c>
      <c r="K30" s="24">
        <v>1235.17</v>
      </c>
      <c r="L30" s="24">
        <v>1224.18</v>
      </c>
      <c r="M30" s="24">
        <v>1212.94</v>
      </c>
      <c r="N30" s="24">
        <v>1201.6300000000001</v>
      </c>
      <c r="O30" s="24">
        <v>1190.04</v>
      </c>
    </row>
    <row r="32" spans="2:17" ht="21" x14ac:dyDescent="0.4">
      <c r="B32" s="36" t="s">
        <v>20</v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P32" s="35" t="s">
        <v>49</v>
      </c>
      <c r="Q32" s="35"/>
    </row>
    <row r="33" spans="2:18" ht="28.8" x14ac:dyDescent="0.3">
      <c r="B33" s="5" t="s">
        <v>0</v>
      </c>
      <c r="C33" s="5" t="s">
        <v>1</v>
      </c>
      <c r="D33" s="7" t="s">
        <v>21</v>
      </c>
      <c r="E33" s="6" t="s">
        <v>22</v>
      </c>
      <c r="F33" s="7" t="s">
        <v>23</v>
      </c>
      <c r="G33" s="10" t="s">
        <v>25</v>
      </c>
      <c r="H33" s="11" t="s">
        <v>23</v>
      </c>
      <c r="I33" s="10" t="s">
        <v>26</v>
      </c>
      <c r="J33" s="11" t="s">
        <v>23</v>
      </c>
      <c r="K33" s="10" t="s">
        <v>27</v>
      </c>
      <c r="L33" s="11" t="s">
        <v>23</v>
      </c>
      <c r="M33" s="10" t="s">
        <v>28</v>
      </c>
      <c r="N33" s="10" t="s">
        <v>23</v>
      </c>
      <c r="P33" s="6" t="s">
        <v>37</v>
      </c>
      <c r="Q33" s="6" t="s">
        <v>23</v>
      </c>
      <c r="R33" s="37"/>
    </row>
    <row r="34" spans="2:18" x14ac:dyDescent="0.3">
      <c r="B34" s="4">
        <v>2024</v>
      </c>
      <c r="C34" s="3" t="s">
        <v>7</v>
      </c>
      <c r="D34" s="9">
        <v>1848.1</v>
      </c>
      <c r="E34" s="8">
        <v>1725.19</v>
      </c>
      <c r="F34" s="9">
        <f>+D34-E34</f>
        <v>122.90999999999985</v>
      </c>
      <c r="G34" s="3">
        <v>1265.31</v>
      </c>
      <c r="H34" s="9">
        <f>+$D34-G34</f>
        <v>582.79</v>
      </c>
      <c r="I34" s="3">
        <v>1204.73</v>
      </c>
      <c r="J34" s="9">
        <f>+$D34-I34</f>
        <v>643.36999999999989</v>
      </c>
      <c r="K34" s="3">
        <v>1704.91</v>
      </c>
      <c r="L34" s="9">
        <f>+$D34-K34</f>
        <v>143.18999999999983</v>
      </c>
      <c r="M34" s="3">
        <v>1209.17</v>
      </c>
      <c r="N34" s="9">
        <f>+$D34-M34</f>
        <v>638.92999999999984</v>
      </c>
      <c r="P34" s="8">
        <f>+E4</f>
        <v>1255.57</v>
      </c>
      <c r="Q34" s="8">
        <f>+F4</f>
        <v>592.53</v>
      </c>
      <c r="R34" s="37"/>
    </row>
    <row r="35" spans="2:18" x14ac:dyDescent="0.3">
      <c r="B35" s="4"/>
      <c r="C35" s="3" t="s">
        <v>8</v>
      </c>
      <c r="D35" s="9">
        <v>1980.1</v>
      </c>
      <c r="E35" s="8">
        <v>1868.5</v>
      </c>
      <c r="F35" s="9">
        <f t="shared" ref="F35:F45" si="48">+D35-E35</f>
        <v>111.59999999999991</v>
      </c>
      <c r="G35" s="3">
        <v>1270.28</v>
      </c>
      <c r="H35" s="9">
        <f t="shared" ref="H35:J45" si="49">+$D35-G35</f>
        <v>709.81999999999994</v>
      </c>
      <c r="I35" s="3">
        <v>1209.57</v>
      </c>
      <c r="J35" s="9">
        <f t="shared" si="49"/>
        <v>770.53</v>
      </c>
      <c r="K35" s="3">
        <v>1857.84</v>
      </c>
      <c r="L35" s="9">
        <f t="shared" ref="L35:L45" si="50">+$D35-K35</f>
        <v>122.25999999999999</v>
      </c>
      <c r="M35" s="3">
        <v>1312.37</v>
      </c>
      <c r="N35" s="9">
        <f t="shared" ref="N35:N45" si="51">+$D35-M35</f>
        <v>667.73</v>
      </c>
      <c r="P35" s="8">
        <f t="shared" ref="P35:Q35" si="52">+E5</f>
        <v>1260.53</v>
      </c>
      <c r="Q35" s="8">
        <f t="shared" si="52"/>
        <v>719.56999999999994</v>
      </c>
      <c r="R35" s="37"/>
    </row>
    <row r="36" spans="2:18" x14ac:dyDescent="0.3">
      <c r="B36" s="4"/>
      <c r="C36" s="3" t="s">
        <v>9</v>
      </c>
      <c r="D36" s="9">
        <v>1760.6</v>
      </c>
      <c r="E36" s="8">
        <v>1887.65</v>
      </c>
      <c r="F36" s="9">
        <f t="shared" si="48"/>
        <v>-127.05000000000018</v>
      </c>
      <c r="G36" s="3">
        <v>1275.26</v>
      </c>
      <c r="H36" s="9">
        <f t="shared" si="49"/>
        <v>485.33999999999992</v>
      </c>
      <c r="I36" s="3">
        <v>1214.42</v>
      </c>
      <c r="J36" s="9">
        <f t="shared" si="49"/>
        <v>546.17999999999984</v>
      </c>
      <c r="K36" s="3">
        <v>1877.54</v>
      </c>
      <c r="L36" s="9">
        <f t="shared" si="50"/>
        <v>-116.94000000000005</v>
      </c>
      <c r="M36" s="3">
        <v>1329.27</v>
      </c>
      <c r="N36" s="9">
        <f t="shared" si="51"/>
        <v>431.32999999999993</v>
      </c>
      <c r="P36" s="8">
        <f t="shared" ref="P36:Q36" si="53">+E6</f>
        <v>1265.49</v>
      </c>
      <c r="Q36" s="8">
        <f t="shared" si="53"/>
        <v>495.1099999999999</v>
      </c>
      <c r="R36" s="37"/>
    </row>
    <row r="37" spans="2:18" x14ac:dyDescent="0.3">
      <c r="B37" s="4"/>
      <c r="C37" s="3" t="s">
        <v>10</v>
      </c>
      <c r="D37" s="9">
        <v>1819</v>
      </c>
      <c r="E37" s="8">
        <v>1840.73</v>
      </c>
      <c r="F37" s="9">
        <f t="shared" si="48"/>
        <v>-21.730000000000018</v>
      </c>
      <c r="G37" s="3">
        <v>1280.24</v>
      </c>
      <c r="H37" s="9">
        <f t="shared" si="49"/>
        <v>538.76</v>
      </c>
      <c r="I37" s="3">
        <v>1219.26</v>
      </c>
      <c r="J37" s="9">
        <f t="shared" si="49"/>
        <v>599.74</v>
      </c>
      <c r="K37" s="3">
        <v>1810.52</v>
      </c>
      <c r="L37" s="9">
        <f t="shared" si="50"/>
        <v>8.4800000000000182</v>
      </c>
      <c r="M37" s="3">
        <v>1297.7</v>
      </c>
      <c r="N37" s="9">
        <f t="shared" si="51"/>
        <v>521.29999999999995</v>
      </c>
      <c r="P37" s="8">
        <f t="shared" ref="P37:Q37" si="54">+E7</f>
        <v>1270.45</v>
      </c>
      <c r="Q37" s="8">
        <f t="shared" si="54"/>
        <v>548.54999999999995</v>
      </c>
      <c r="R37" s="37"/>
    </row>
    <row r="38" spans="2:18" x14ac:dyDescent="0.3">
      <c r="B38" s="4"/>
      <c r="C38" s="3" t="s">
        <v>11</v>
      </c>
      <c r="D38" s="9">
        <v>2020.6</v>
      </c>
      <c r="E38" s="8">
        <v>1902.59</v>
      </c>
      <c r="F38" s="9">
        <f t="shared" si="48"/>
        <v>118.00999999999999</v>
      </c>
      <c r="G38" s="3">
        <v>1285.22</v>
      </c>
      <c r="H38" s="9">
        <f t="shared" si="49"/>
        <v>735.37999999999988</v>
      </c>
      <c r="I38" s="3">
        <v>1224.0999999999999</v>
      </c>
      <c r="J38" s="9">
        <f t="shared" si="49"/>
        <v>796.5</v>
      </c>
      <c r="K38" s="3">
        <v>1897.69</v>
      </c>
      <c r="L38" s="9">
        <f t="shared" si="50"/>
        <v>122.90999999999985</v>
      </c>
      <c r="M38" s="3">
        <v>1360.81</v>
      </c>
      <c r="N38" s="9">
        <f t="shared" si="51"/>
        <v>659.79</v>
      </c>
      <c r="P38" s="8">
        <f t="shared" ref="P38:Q38" si="55">+E8</f>
        <v>1275.4000000000001</v>
      </c>
      <c r="Q38" s="8">
        <f t="shared" si="55"/>
        <v>745.19999999999982</v>
      </c>
      <c r="R38" s="37"/>
    </row>
    <row r="39" spans="2:18" x14ac:dyDescent="0.3">
      <c r="B39" s="4"/>
      <c r="C39" s="3" t="s">
        <v>12</v>
      </c>
      <c r="D39" s="9">
        <v>1724.1</v>
      </c>
      <c r="E39" s="8">
        <v>1799.99</v>
      </c>
      <c r="F39" s="9">
        <f t="shared" si="48"/>
        <v>-75.8900000000001</v>
      </c>
      <c r="G39" s="3">
        <v>1290.2</v>
      </c>
      <c r="H39" s="9">
        <f t="shared" si="49"/>
        <v>433.89999999999986</v>
      </c>
      <c r="I39" s="3">
        <v>1228.94</v>
      </c>
      <c r="J39" s="9">
        <f t="shared" si="49"/>
        <v>495.15999999999985</v>
      </c>
      <c r="K39" s="3">
        <v>1785.49</v>
      </c>
      <c r="L39" s="9">
        <f t="shared" si="50"/>
        <v>-61.3900000000001</v>
      </c>
      <c r="M39" s="3">
        <v>1292.76</v>
      </c>
      <c r="N39" s="9">
        <f t="shared" si="51"/>
        <v>431.33999999999992</v>
      </c>
      <c r="P39" s="8">
        <f t="shared" ref="P39:Q39" si="56">+E9</f>
        <v>1280.3599999999999</v>
      </c>
      <c r="Q39" s="8">
        <f t="shared" si="56"/>
        <v>443.74</v>
      </c>
      <c r="R39" s="37"/>
    </row>
    <row r="40" spans="2:18" x14ac:dyDescent="0.3">
      <c r="B40" s="4"/>
      <c r="C40" s="3" t="s">
        <v>13</v>
      </c>
      <c r="D40" s="9">
        <v>2000.4</v>
      </c>
      <c r="E40" s="8">
        <v>1879.96</v>
      </c>
      <c r="F40" s="9">
        <f t="shared" si="48"/>
        <v>120.44000000000005</v>
      </c>
      <c r="G40" s="3">
        <v>1295.18</v>
      </c>
      <c r="H40" s="9">
        <f t="shared" si="49"/>
        <v>705.22</v>
      </c>
      <c r="I40" s="3">
        <v>1233.79</v>
      </c>
      <c r="J40" s="9">
        <f t="shared" si="49"/>
        <v>766.61000000000013</v>
      </c>
      <c r="K40" s="3">
        <v>1881.15</v>
      </c>
      <c r="L40" s="9">
        <f t="shared" si="50"/>
        <v>119.25</v>
      </c>
      <c r="M40" s="3">
        <v>1376.53</v>
      </c>
      <c r="N40" s="9">
        <f t="shared" si="51"/>
        <v>623.87000000000012</v>
      </c>
      <c r="P40" s="8">
        <f t="shared" ref="P40:Q40" si="57">+E10</f>
        <v>1285.32</v>
      </c>
      <c r="Q40" s="8">
        <f t="shared" si="57"/>
        <v>715.08000000000015</v>
      </c>
      <c r="R40" s="37"/>
    </row>
    <row r="41" spans="2:18" x14ac:dyDescent="0.3">
      <c r="B41" s="4"/>
      <c r="C41" s="3" t="s">
        <v>14</v>
      </c>
      <c r="D41" s="9">
        <v>1734</v>
      </c>
      <c r="E41" s="8">
        <v>1731.84</v>
      </c>
      <c r="F41" s="9">
        <f t="shared" si="48"/>
        <v>2.1600000000000819</v>
      </c>
      <c r="G41" s="3">
        <v>1300.1500000000001</v>
      </c>
      <c r="H41" s="9">
        <f t="shared" si="49"/>
        <v>433.84999999999991</v>
      </c>
      <c r="I41" s="3">
        <v>1238.6300000000001</v>
      </c>
      <c r="J41" s="9">
        <f t="shared" si="49"/>
        <v>495.36999999999989</v>
      </c>
      <c r="K41" s="3">
        <v>1695.11</v>
      </c>
      <c r="L41" s="9">
        <f t="shared" si="50"/>
        <v>38.8900000000001</v>
      </c>
      <c r="M41" s="3">
        <v>1246.27</v>
      </c>
      <c r="N41" s="9">
        <f t="shared" si="51"/>
        <v>487.73</v>
      </c>
      <c r="P41" s="8">
        <f t="shared" ref="P41:Q41" si="58">+E11</f>
        <v>1290.28</v>
      </c>
      <c r="Q41" s="8">
        <f t="shared" si="58"/>
        <v>443.72</v>
      </c>
      <c r="R41" s="37"/>
    </row>
    <row r="42" spans="2:18" x14ac:dyDescent="0.3">
      <c r="B42" s="4"/>
      <c r="C42" s="3" t="s">
        <v>15</v>
      </c>
      <c r="D42" s="9">
        <v>1940.8</v>
      </c>
      <c r="E42" s="8">
        <v>1905.96</v>
      </c>
      <c r="F42" s="9">
        <f t="shared" si="48"/>
        <v>34.839999999999918</v>
      </c>
      <c r="G42" s="3">
        <v>1305.1300000000001</v>
      </c>
      <c r="H42" s="9">
        <f t="shared" si="49"/>
        <v>635.66999999999985</v>
      </c>
      <c r="I42" s="3">
        <v>1243.47</v>
      </c>
      <c r="J42" s="9">
        <f t="shared" si="49"/>
        <v>697.32999999999993</v>
      </c>
      <c r="K42" s="3">
        <v>1890.83</v>
      </c>
      <c r="L42" s="9">
        <f t="shared" si="50"/>
        <v>49.970000000000027</v>
      </c>
      <c r="M42" s="3">
        <v>1398.48</v>
      </c>
      <c r="N42" s="9">
        <f t="shared" si="51"/>
        <v>542.31999999999994</v>
      </c>
      <c r="P42" s="8">
        <f t="shared" ref="P42:Q42" si="59">+E12</f>
        <v>1295.24</v>
      </c>
      <c r="Q42" s="8">
        <f t="shared" si="59"/>
        <v>645.55999999999995</v>
      </c>
      <c r="R42" s="37"/>
    </row>
    <row r="43" spans="2:18" x14ac:dyDescent="0.3">
      <c r="B43" s="13">
        <v>2025</v>
      </c>
      <c r="C43" s="8" t="s">
        <v>4</v>
      </c>
      <c r="D43" s="9">
        <v>1817.6</v>
      </c>
      <c r="E43" s="8">
        <v>1619.98</v>
      </c>
      <c r="F43" s="9">
        <f t="shared" si="48"/>
        <v>197.61999999999989</v>
      </c>
      <c r="G43" s="8">
        <v>1310.1099999999999</v>
      </c>
      <c r="H43" s="9">
        <f t="shared" si="49"/>
        <v>507.49</v>
      </c>
      <c r="I43" s="8">
        <v>1248.31</v>
      </c>
      <c r="J43" s="9">
        <f t="shared" si="49"/>
        <v>569.29</v>
      </c>
      <c r="K43" s="8">
        <v>1565.55</v>
      </c>
      <c r="L43" s="9">
        <f t="shared" si="50"/>
        <v>252.04999999999995</v>
      </c>
      <c r="M43" s="8">
        <v>1138.5899999999999</v>
      </c>
      <c r="N43" s="9">
        <f t="shared" si="51"/>
        <v>679.01</v>
      </c>
      <c r="P43" s="8">
        <f t="shared" ref="P43:Q43" si="60">+E13</f>
        <v>1300.19</v>
      </c>
      <c r="Q43" s="8">
        <f t="shared" si="60"/>
        <v>517.40999999999985</v>
      </c>
      <c r="R43" s="37"/>
    </row>
    <row r="44" spans="2:18" x14ac:dyDescent="0.3">
      <c r="B44" s="13"/>
      <c r="C44" s="8" t="s">
        <v>5</v>
      </c>
      <c r="D44" s="9">
        <v>1821.4</v>
      </c>
      <c r="E44" s="8">
        <v>1674.07</v>
      </c>
      <c r="F44" s="9">
        <f t="shared" si="48"/>
        <v>147.33000000000015</v>
      </c>
      <c r="G44" s="8">
        <v>1315.09</v>
      </c>
      <c r="H44" s="9">
        <f t="shared" si="49"/>
        <v>506.31000000000017</v>
      </c>
      <c r="I44" s="8">
        <v>1253.1500000000001</v>
      </c>
      <c r="J44" s="9">
        <f t="shared" si="49"/>
        <v>568.25</v>
      </c>
      <c r="K44" s="8">
        <v>1602.89</v>
      </c>
      <c r="L44" s="9">
        <f t="shared" si="50"/>
        <v>218.51</v>
      </c>
      <c r="M44" s="8">
        <v>1172.72</v>
      </c>
      <c r="N44" s="9">
        <f t="shared" si="51"/>
        <v>648.68000000000006</v>
      </c>
      <c r="P44" s="8">
        <f t="shared" ref="P44:Q44" si="61">+E14</f>
        <v>1305.1500000000001</v>
      </c>
      <c r="Q44" s="8">
        <f t="shared" si="61"/>
        <v>516.25</v>
      </c>
      <c r="R44" s="37"/>
    </row>
    <row r="45" spans="2:18" ht="15" thickBot="1" x14ac:dyDescent="0.35">
      <c r="B45" s="14"/>
      <c r="C45" s="15" t="s">
        <v>6</v>
      </c>
      <c r="D45" s="16">
        <v>2003.7</v>
      </c>
      <c r="E45" s="15">
        <v>1930.56</v>
      </c>
      <c r="F45" s="16">
        <f t="shared" si="48"/>
        <v>73.1400000000001</v>
      </c>
      <c r="G45" s="15">
        <v>1320.07</v>
      </c>
      <c r="H45" s="16">
        <f t="shared" si="49"/>
        <v>683.63000000000011</v>
      </c>
      <c r="I45" s="15">
        <v>1258</v>
      </c>
      <c r="J45" s="16">
        <f t="shared" si="49"/>
        <v>745.7</v>
      </c>
      <c r="K45" s="15">
        <v>1892.4</v>
      </c>
      <c r="L45" s="16">
        <f t="shared" si="50"/>
        <v>111.29999999999995</v>
      </c>
      <c r="M45" s="15">
        <v>1387.85</v>
      </c>
      <c r="N45" s="16">
        <f t="shared" si="51"/>
        <v>615.85000000000014</v>
      </c>
      <c r="P45" s="15">
        <f t="shared" ref="P45:Q45" si="62">+E15</f>
        <v>1310.1099999999999</v>
      </c>
      <c r="Q45" s="15">
        <f t="shared" si="62"/>
        <v>693.59000000000015</v>
      </c>
      <c r="R45" s="37"/>
    </row>
    <row r="46" spans="2:18" ht="16.2" thickTop="1" x14ac:dyDescent="0.3">
      <c r="B46" s="17" t="s">
        <v>24</v>
      </c>
      <c r="C46" s="18"/>
      <c r="D46" s="19"/>
      <c r="E46" s="20" cm="1">
        <f t="array" ref="E46">SQRT(AVERAGE((F34:F45)^2))</f>
        <v>110.18715646571519</v>
      </c>
      <c r="F46" s="21"/>
      <c r="G46" s="20" cm="1">
        <f t="array" ref="G46">SQRT(AVERAGE((H34:H45)^2))</f>
        <v>589.43773610959113</v>
      </c>
      <c r="H46" s="21"/>
      <c r="I46" s="20" cm="1">
        <f t="array" ref="I46">SQRT(AVERAGE((J34:J45)^2))</f>
        <v>649.84978314863918</v>
      </c>
      <c r="J46" s="21"/>
      <c r="K46" s="20" cm="1">
        <f t="array" ref="K46">SQRT(AVERAGE((L34:L45)^2))</f>
        <v>132.27712891249692</v>
      </c>
      <c r="L46" s="21"/>
      <c r="M46" s="20" cm="1">
        <f t="array" ref="M46">SQRT(AVERAGE((N34:N45)^2))</f>
        <v>585.63271009510163</v>
      </c>
      <c r="N46" s="21"/>
      <c r="P46" s="20">
        <f>+MIN(E16:Z16)</f>
        <v>599.12511527921549</v>
      </c>
      <c r="Q46" s="20"/>
      <c r="R46" s="37"/>
    </row>
    <row r="48" spans="2:18" ht="21" x14ac:dyDescent="0.4">
      <c r="B48" s="36" t="s">
        <v>50</v>
      </c>
      <c r="C48" s="36"/>
      <c r="D48" s="36"/>
      <c r="E48" s="36"/>
      <c r="F48" s="36"/>
      <c r="G48" s="36"/>
      <c r="I48" s="36" t="s">
        <v>54</v>
      </c>
      <c r="J48" s="36"/>
      <c r="K48" s="36"/>
      <c r="L48" s="36"/>
    </row>
    <row r="49" spans="2:12" x14ac:dyDescent="0.3">
      <c r="B49" s="5" t="s">
        <v>1</v>
      </c>
      <c r="C49" s="5" t="s">
        <v>30</v>
      </c>
      <c r="D49" s="5" t="s">
        <v>51</v>
      </c>
      <c r="E49" s="5" t="s">
        <v>52</v>
      </c>
      <c r="F49" s="5" t="s">
        <v>53</v>
      </c>
      <c r="G49" s="5" t="s">
        <v>31</v>
      </c>
      <c r="I49" s="5" t="s">
        <v>1</v>
      </c>
      <c r="J49" s="5" t="s">
        <v>30</v>
      </c>
      <c r="K49" s="5" t="s">
        <v>53</v>
      </c>
      <c r="L49" s="5" t="s">
        <v>55</v>
      </c>
    </row>
    <row r="50" spans="2:12" x14ac:dyDescent="0.3">
      <c r="B50" s="38" t="s">
        <v>32</v>
      </c>
      <c r="C50" s="39">
        <v>1848.1</v>
      </c>
      <c r="D50" s="42">
        <v>1265.31</v>
      </c>
      <c r="E50" s="42">
        <v>1255.57</v>
      </c>
      <c r="F50" s="43">
        <v>1704.91</v>
      </c>
      <c r="G50" s="42">
        <v>1209.17</v>
      </c>
      <c r="I50" s="38" t="s">
        <v>32</v>
      </c>
      <c r="J50" s="39">
        <v>1848.1</v>
      </c>
      <c r="K50" s="40">
        <v>1704.91</v>
      </c>
      <c r="L50" s="8">
        <v>1725.19</v>
      </c>
    </row>
    <row r="51" spans="2:12" x14ac:dyDescent="0.3">
      <c r="B51" s="41">
        <v>45413</v>
      </c>
      <c r="C51" s="39">
        <v>1980.1</v>
      </c>
      <c r="D51" s="42">
        <v>1270.28</v>
      </c>
      <c r="E51" s="42">
        <v>1260.53</v>
      </c>
      <c r="F51" s="43">
        <v>1857.84</v>
      </c>
      <c r="G51" s="42">
        <v>1312.37</v>
      </c>
      <c r="I51" s="41">
        <v>45413</v>
      </c>
      <c r="J51" s="39">
        <v>1980.1</v>
      </c>
      <c r="K51" s="40">
        <v>1857.84</v>
      </c>
      <c r="L51" s="8">
        <v>1868.5</v>
      </c>
    </row>
    <row r="52" spans="2:12" x14ac:dyDescent="0.3">
      <c r="B52" s="41">
        <v>45444</v>
      </c>
      <c r="C52" s="39">
        <v>1760.6</v>
      </c>
      <c r="D52" s="44">
        <v>1275.26</v>
      </c>
      <c r="E52" s="44">
        <v>1265.49</v>
      </c>
      <c r="F52" s="43">
        <v>1877.54</v>
      </c>
      <c r="G52" s="44">
        <v>1329.27</v>
      </c>
      <c r="I52" s="41">
        <v>45444</v>
      </c>
      <c r="J52" s="39">
        <v>1760.6</v>
      </c>
      <c r="K52" s="40">
        <v>1877.54</v>
      </c>
      <c r="L52" s="8">
        <v>1887.65</v>
      </c>
    </row>
    <row r="53" spans="2:12" x14ac:dyDescent="0.3">
      <c r="B53" s="41">
        <v>45474</v>
      </c>
      <c r="C53" s="39">
        <v>1819</v>
      </c>
      <c r="D53" s="44">
        <v>1280.24</v>
      </c>
      <c r="E53" s="42">
        <v>1270.45</v>
      </c>
      <c r="F53" s="45">
        <v>1810.52</v>
      </c>
      <c r="G53" s="44">
        <v>1297.7</v>
      </c>
      <c r="I53" s="41">
        <v>45474</v>
      </c>
      <c r="J53" s="39">
        <v>1819</v>
      </c>
      <c r="K53" s="40">
        <v>1810.52</v>
      </c>
      <c r="L53" s="8">
        <v>1840.73</v>
      </c>
    </row>
    <row r="54" spans="2:12" x14ac:dyDescent="0.3">
      <c r="B54" s="38" t="s">
        <v>33</v>
      </c>
      <c r="C54" s="39">
        <v>2020.6</v>
      </c>
      <c r="D54" s="42">
        <v>1285.22</v>
      </c>
      <c r="E54" s="42">
        <v>1275.4000000000001</v>
      </c>
      <c r="F54" s="43">
        <v>1897.69</v>
      </c>
      <c r="G54" s="42">
        <v>1360.81</v>
      </c>
      <c r="I54" s="38" t="s">
        <v>33</v>
      </c>
      <c r="J54" s="39">
        <v>2020.6</v>
      </c>
      <c r="K54" s="40">
        <v>1897.69</v>
      </c>
      <c r="L54" s="8">
        <v>1902.59</v>
      </c>
    </row>
    <row r="55" spans="2:12" x14ac:dyDescent="0.3">
      <c r="B55" s="41">
        <v>45536</v>
      </c>
      <c r="C55" s="39">
        <v>1724.1</v>
      </c>
      <c r="D55" s="44">
        <v>1290.2</v>
      </c>
      <c r="E55" s="44">
        <v>1280.3599999999999</v>
      </c>
      <c r="F55" s="45">
        <v>1785.49</v>
      </c>
      <c r="G55" s="44">
        <v>1292.76</v>
      </c>
      <c r="I55" s="41">
        <v>45536</v>
      </c>
      <c r="J55" s="39">
        <v>1724.1</v>
      </c>
      <c r="K55" s="40">
        <v>1785.49</v>
      </c>
      <c r="L55" s="8">
        <v>1799.99</v>
      </c>
    </row>
    <row r="56" spans="2:12" x14ac:dyDescent="0.3">
      <c r="B56" s="41">
        <v>45566</v>
      </c>
      <c r="C56" s="39">
        <v>2000.4</v>
      </c>
      <c r="D56" s="42">
        <v>1295.18</v>
      </c>
      <c r="E56" s="42">
        <v>1285.32</v>
      </c>
      <c r="F56" s="43">
        <v>1881.15</v>
      </c>
      <c r="G56" s="42">
        <v>1376.53</v>
      </c>
      <c r="I56" s="41">
        <v>45566</v>
      </c>
      <c r="J56" s="39">
        <v>2000.4</v>
      </c>
      <c r="K56" s="40">
        <v>1881.15</v>
      </c>
      <c r="L56" s="8">
        <v>1879.96</v>
      </c>
    </row>
    <row r="57" spans="2:12" x14ac:dyDescent="0.3">
      <c r="B57" s="41">
        <v>45597</v>
      </c>
      <c r="C57" s="39">
        <v>1734</v>
      </c>
      <c r="D57" s="44">
        <v>1300.1500000000001</v>
      </c>
      <c r="E57" s="44">
        <v>1290.28</v>
      </c>
      <c r="F57" s="45">
        <v>1695.11</v>
      </c>
      <c r="G57" s="44">
        <v>1246.27</v>
      </c>
      <c r="I57" s="41">
        <v>45597</v>
      </c>
      <c r="J57" s="39">
        <v>1734</v>
      </c>
      <c r="K57" s="40">
        <v>1695.11</v>
      </c>
      <c r="L57" s="8">
        <v>1731.84</v>
      </c>
    </row>
    <row r="58" spans="2:12" x14ac:dyDescent="0.3">
      <c r="B58" s="38" t="s">
        <v>34</v>
      </c>
      <c r="C58" s="39">
        <v>1940.8</v>
      </c>
      <c r="D58" s="42">
        <v>1305.1300000000001</v>
      </c>
      <c r="E58" s="42">
        <v>1295.24</v>
      </c>
      <c r="F58" s="45">
        <v>1890.83</v>
      </c>
      <c r="G58" s="44">
        <v>1398.48</v>
      </c>
      <c r="I58" s="38" t="s">
        <v>34</v>
      </c>
      <c r="J58" s="39">
        <v>1940.8</v>
      </c>
      <c r="K58" s="40">
        <v>1890.83</v>
      </c>
      <c r="L58" s="8">
        <v>1905.96</v>
      </c>
    </row>
    <row r="59" spans="2:12" x14ac:dyDescent="0.3">
      <c r="B59" s="38" t="s">
        <v>35</v>
      </c>
      <c r="C59" s="39">
        <v>1817.6</v>
      </c>
      <c r="D59" s="44">
        <v>1310.1099999999999</v>
      </c>
      <c r="E59" s="44">
        <v>1300.19</v>
      </c>
      <c r="F59" s="46">
        <v>1565.55</v>
      </c>
      <c r="G59" s="42">
        <v>1138.5899999999999</v>
      </c>
      <c r="I59" s="38" t="s">
        <v>35</v>
      </c>
      <c r="J59" s="39">
        <v>1817.6</v>
      </c>
      <c r="K59" s="40">
        <v>1565.55</v>
      </c>
      <c r="L59" s="8">
        <v>1619.98</v>
      </c>
    </row>
    <row r="60" spans="2:12" x14ac:dyDescent="0.3">
      <c r="B60" s="41">
        <v>45689</v>
      </c>
      <c r="C60" s="39">
        <v>1821.4</v>
      </c>
      <c r="D60" s="44">
        <v>1315.09</v>
      </c>
      <c r="E60" s="44">
        <v>1305.1500000000001</v>
      </c>
      <c r="F60" s="46">
        <v>1602.89</v>
      </c>
      <c r="G60" s="42">
        <v>1172.72</v>
      </c>
      <c r="I60" s="41">
        <v>45689</v>
      </c>
      <c r="J60" s="39">
        <v>1821.4</v>
      </c>
      <c r="K60" s="40">
        <v>1602.89</v>
      </c>
      <c r="L60" s="8">
        <v>1674.07</v>
      </c>
    </row>
    <row r="61" spans="2:12" x14ac:dyDescent="0.3">
      <c r="B61" s="41">
        <v>45717</v>
      </c>
      <c r="C61" s="39">
        <v>2003.7</v>
      </c>
      <c r="D61" s="42">
        <v>1320.07</v>
      </c>
      <c r="E61" s="42">
        <v>1310.1099999999999</v>
      </c>
      <c r="F61" s="43">
        <v>1892.4</v>
      </c>
      <c r="G61" s="42">
        <v>1387.85</v>
      </c>
      <c r="I61" s="41">
        <v>45717</v>
      </c>
      <c r="J61" s="39">
        <v>2003.7</v>
      </c>
      <c r="K61" s="40">
        <v>1892.4</v>
      </c>
      <c r="L61" s="8">
        <v>1930.56</v>
      </c>
    </row>
    <row r="62" spans="2:12" x14ac:dyDescent="0.3">
      <c r="L62" s="37"/>
    </row>
  </sheetData>
  <mergeCells count="26">
    <mergeCell ref="P32:Q32"/>
    <mergeCell ref="P46:Q46"/>
    <mergeCell ref="B48:G48"/>
    <mergeCell ref="I48:L48"/>
    <mergeCell ref="B32:N32"/>
    <mergeCell ref="B34:B42"/>
    <mergeCell ref="B43:B45"/>
    <mergeCell ref="E46:F46"/>
    <mergeCell ref="G46:H46"/>
    <mergeCell ref="I46:J46"/>
    <mergeCell ref="K46:L46"/>
    <mergeCell ref="M46:N46"/>
    <mergeCell ref="O16:P16"/>
    <mergeCell ref="Q16:R16"/>
    <mergeCell ref="S16:T16"/>
    <mergeCell ref="U16:V16"/>
    <mergeCell ref="W16:X16"/>
    <mergeCell ref="Y16:Z16"/>
    <mergeCell ref="B4:B12"/>
    <mergeCell ref="B13:B15"/>
    <mergeCell ref="E16:F16"/>
    <mergeCell ref="G16:H16"/>
    <mergeCell ref="I16:J16"/>
    <mergeCell ref="K16:L16"/>
    <mergeCell ref="M16:N16"/>
    <mergeCell ref="B2:Z2"/>
  </mergeCells>
  <pageMargins left="0.7" right="0.7" top="0.75" bottom="0.75" header="0.3" footer="0.3"/>
  <ignoredErrors>
    <ignoredError sqref="F4:Z1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Dataset</vt:lpstr>
      <vt:lpstr>Resumen</vt:lpstr>
      <vt:lpstr>Promedio Movil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Yoc</dc:creator>
  <cp:lastModifiedBy>Jose Yoc</cp:lastModifiedBy>
  <dcterms:created xsi:type="dcterms:W3CDTF">2026-02-28T15:13:46Z</dcterms:created>
  <dcterms:modified xsi:type="dcterms:W3CDTF">2026-03-05T19:59:31Z</dcterms:modified>
</cp:coreProperties>
</file>